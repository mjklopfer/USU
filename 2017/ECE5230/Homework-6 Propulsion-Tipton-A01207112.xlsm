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aveExternalLinkValues="0" codeName="ThisWorkbook"/>
  <mc:AlternateContent xmlns:mc="http://schemas.openxmlformats.org/markup-compatibility/2006">
    <mc:Choice Requires="x15">
      <x15ac:absPath xmlns:x15ac="http://schemas.microsoft.com/office/spreadsheetml/2010/11/ac" url="C:\Users\Nathan Tipton\Google Drive\Spring 2017\Space Systems Engineering\"/>
    </mc:Choice>
  </mc:AlternateContent>
  <bookViews>
    <workbookView xWindow="0" yWindow="0" windowWidth="25200" windowHeight="11850" activeTab="3"/>
  </bookViews>
  <sheets>
    <sheet name="Title" sheetId="29" r:id="rId1"/>
    <sheet name="Propulsion example" sheetId="31" r:id="rId2"/>
    <sheet name="Propulsion Blank" sheetId="32" r:id="rId3"/>
    <sheet name="Answers" sheetId="30" r:id="rId4"/>
  </sheets>
  <functionGroups builtInGroupCount="18"/>
  <externalReferences>
    <externalReference r:id="rId5"/>
    <externalReference r:id="rId6"/>
    <externalReference r:id="rId7"/>
  </externalReferences>
  <definedNames>
    <definedName name="AeroForces_Output">[1]AeroForces!$B$20</definedName>
    <definedName name="batteries">[1]Database!$C$485:$J$490</definedName>
    <definedName name="BodyG" localSheetId="3">#REF!</definedName>
    <definedName name="BodyG" localSheetId="2">#REF!</definedName>
    <definedName name="BodyG" localSheetId="1">#REF!</definedName>
    <definedName name="BodyG">#REF!</definedName>
    <definedName name="BodyRad" localSheetId="3">#REF!</definedName>
    <definedName name="BodyRad" localSheetId="2">#REF!</definedName>
    <definedName name="BodyRad" localSheetId="1">#REF!</definedName>
    <definedName name="BodyRad">#REF!</definedName>
    <definedName name="CatPower" localSheetId="3">[2]Tables!#REF!</definedName>
    <definedName name="CatPower" localSheetId="2">[2]Tables!#REF!</definedName>
    <definedName name="CatPower" localSheetId="1">[2]Tables!#REF!</definedName>
    <definedName name="CatPower">[2]Tables!#REF!</definedName>
    <definedName name="catpower1" localSheetId="3">[2]Tables!#REF!</definedName>
    <definedName name="catpower1" localSheetId="2">[2]Tables!#REF!</definedName>
    <definedName name="catpower1" localSheetId="1">[2]Tables!#REF!</definedName>
    <definedName name="catpower1">[2]Tables!#REF!</definedName>
    <definedName name="catpower2" localSheetId="3">[2]Tables!#REF!</definedName>
    <definedName name="catpower2" localSheetId="2">[2]Tables!#REF!</definedName>
    <definedName name="catpower2" localSheetId="1">[2]Tables!#REF!</definedName>
    <definedName name="catpower2">[2]Tables!#REF!</definedName>
    <definedName name="Cd" localSheetId="3">#REF!</definedName>
    <definedName name="Cd" localSheetId="2">#REF!</definedName>
    <definedName name="Cd" localSheetId="1">#REF!</definedName>
    <definedName name="Cd">#REF!</definedName>
    <definedName name="cmgs">[1]Database!$C$154:$J$159</definedName>
    <definedName name="CNFG_BodyOutput">[1]Config!$D$92</definedName>
    <definedName name="CNFG_BodySurfacesOutput">[1]Config!$D$100</definedName>
    <definedName name="CNFG_PanelSurfacesOutput">[1]Config!$D$118</definedName>
    <definedName name="ConfigNameCell" localSheetId="3">[3]ThermalCDC!#REF!</definedName>
    <definedName name="ConfigNameCell" localSheetId="2">[3]ThermalCDC!#REF!</definedName>
    <definedName name="ConfigNameCell" localSheetId="1">[3]ThermalCDC!#REF!</definedName>
    <definedName name="ConfigNameCell">[3]ThermalCDC!#REF!</definedName>
    <definedName name="CopyBlock1" localSheetId="3">[3]ThermalCDC!#REF!</definedName>
    <definedName name="CopyBlock1" localSheetId="2">[3]ThermalCDC!#REF!</definedName>
    <definedName name="CopyBlock1" localSheetId="1">[3]ThermalCDC!#REF!</definedName>
    <definedName name="CopyBlock1">[3]ThermalCDC!#REF!</definedName>
    <definedName name="CopyBlock2" localSheetId="3">[3]ThermalCDC!#REF!</definedName>
    <definedName name="CopyBlock2" localSheetId="2">[3]ThermalCDC!#REF!</definedName>
    <definedName name="CopyBlock2" localSheetId="1">[3]ThermalCDC!#REF!</definedName>
    <definedName name="CopyBlock2">[3]ThermalCDC!#REF!</definedName>
    <definedName name="disk_memory">[1]Database!$C$466:$J$468</definedName>
    <definedName name="DragTable">[2]Tables!$B$41:$O$62</definedName>
    <definedName name="dv_engines">[1]Database!$C$194:$K$203</definedName>
    <definedName name="earth_sensors">[1]Database!$C$27:$M$50</definedName>
    <definedName name="FuelDens" localSheetId="3">[2]Tables!#REF!</definedName>
    <definedName name="FuelDens" localSheetId="2">[2]Tables!#REF!</definedName>
    <definedName name="FuelDens" localSheetId="1">[2]Tables!#REF!</definedName>
    <definedName name="FuelDens">[2]Tables!#REF!</definedName>
    <definedName name="fueldens1" localSheetId="3">[2]Tables!#REF!</definedName>
    <definedName name="fueldens1" localSheetId="2">[2]Tables!#REF!</definedName>
    <definedName name="fueldens1" localSheetId="1">[2]Tables!#REF!</definedName>
    <definedName name="fueldens1">[2]Tables!#REF!</definedName>
    <definedName name="fueldens2" localSheetId="3">[2]Tables!#REF!</definedName>
    <definedName name="fueldens2" localSheetId="2">[2]Tables!#REF!</definedName>
    <definedName name="fueldens2" localSheetId="1">[2]Tables!#REF!</definedName>
    <definedName name="fueldens2">[2]Tables!#REF!</definedName>
    <definedName name="fueldens3" localSheetId="3">[2]Tables!#REF!</definedName>
    <definedName name="fueldens3" localSheetId="2">[2]Tables!#REF!</definedName>
    <definedName name="fueldens3" localSheetId="1">[2]Tables!#REF!</definedName>
    <definedName name="fueldens3">[2]Tables!#REF!</definedName>
    <definedName name="fueldens4" localSheetId="2">[2]Tables!#REF!</definedName>
    <definedName name="fueldens4" localSheetId="1">[2]Tables!#REF!</definedName>
    <definedName name="fueldens4">[2]Tables!#REF!</definedName>
    <definedName name="fuelmass" localSheetId="3">#REF!</definedName>
    <definedName name="fuelmass" localSheetId="2">#REF!</definedName>
    <definedName name="fuelmass" localSheetId="1">#REF!</definedName>
    <definedName name="fuelmass">#REF!</definedName>
    <definedName name="g0">9.80665</definedName>
    <definedName name="gps_receivers">[1]Database!$C$95:$I$102</definedName>
    <definedName name="H2O2" localSheetId="3">[2]Tables!#REF!</definedName>
    <definedName name="H2O2" localSheetId="2">[2]Tables!#REF!</definedName>
    <definedName name="H2O2" localSheetId="1">[2]Tables!#REF!</definedName>
    <definedName name="H2O2">[2]Tables!#REF!</definedName>
    <definedName name="imus_gyros">[1]Database!$C$106:$N$122</definedName>
    <definedName name="label1" localSheetId="3">#REF!</definedName>
    <definedName name="label1" localSheetId="2">#REF!</definedName>
    <definedName name="label1" localSheetId="1">#REF!</definedName>
    <definedName name="label1">#REF!</definedName>
    <definedName name="label2" localSheetId="3">#REF!</definedName>
    <definedName name="label2" localSheetId="2">#REF!</definedName>
    <definedName name="label2" localSheetId="1">#REF!</definedName>
    <definedName name="label2">#REF!</definedName>
    <definedName name="label3" localSheetId="3">#REF!</definedName>
    <definedName name="label3" localSheetId="2">#REF!</definedName>
    <definedName name="label3" localSheetId="1">#REF!</definedName>
    <definedName name="label3">#REF!</definedName>
    <definedName name="LIG_Attitude">[1]Lighting!$B$16</definedName>
    <definedName name="LIG_Elements">[1]Lighting!$B$8</definedName>
    <definedName name="LIG_OALighting">[1]Lighting!$D$135</definedName>
    <definedName name="LIG_OAPower">[1]Lighting!$U$61</definedName>
    <definedName name="LIG_SunEarth">[1]Lighting!$D$61</definedName>
    <definedName name="magnetic_torquerods">[1]Database!$C$126:$P$150</definedName>
    <definedName name="magnetometers">[1]Database!$C$77:$Q$91</definedName>
    <definedName name="massoxid" localSheetId="3">#REF!</definedName>
    <definedName name="massoxid" localSheetId="2">#REF!</definedName>
    <definedName name="massoxid" localSheetId="1">#REF!</definedName>
    <definedName name="massoxid">#REF!</definedName>
    <definedName name="mom_wheels">[1]Database!$C$184:$N$190</definedName>
    <definedName name="Monoprop" localSheetId="3">[2]Tables!#REF!</definedName>
    <definedName name="Monoprop" localSheetId="2">[2]Tables!#REF!</definedName>
    <definedName name="Monoprop" localSheetId="1">[2]Tables!#REF!</definedName>
    <definedName name="Monoprop">[2]Tables!#REF!</definedName>
    <definedName name="Mu">398600.5</definedName>
    <definedName name="N2H4" localSheetId="3">[2]Tables!#REF!</definedName>
    <definedName name="N2H4" localSheetId="2">[2]Tables!#REF!</definedName>
    <definedName name="N2H4" localSheetId="1">[2]Tables!#REF!</definedName>
    <definedName name="N2H4">[2]Tables!#REF!</definedName>
    <definedName name="N2O4MMH" localSheetId="3">[2]Tables!#REF!</definedName>
    <definedName name="N2O4MMH" localSheetId="2">[2]Tables!#REF!</definedName>
    <definedName name="N2O4MMH" localSheetId="1">[2]Tables!#REF!</definedName>
    <definedName name="N2O4MMH">[2]Tables!#REF!</definedName>
    <definedName name="N2O4N2H4" localSheetId="3">[2]Tables!#REF!</definedName>
    <definedName name="N2O4N2H4" localSheetId="2">[2]Tables!#REF!</definedName>
    <definedName name="N2O4N2H4" localSheetId="1">[2]Tables!#REF!</definedName>
    <definedName name="N2O4N2H4">[2]Tables!#REF!</definedName>
    <definedName name="OxidDens" localSheetId="3">[2]Tables!#REF!</definedName>
    <definedName name="OxidDens" localSheetId="2">[2]Tables!#REF!</definedName>
    <definedName name="OxidDens" localSheetId="1">[2]Tables!#REF!</definedName>
    <definedName name="OxidDens">[2]Tables!#REF!</definedName>
    <definedName name="oxiddens1" localSheetId="3">[2]Tables!#REF!</definedName>
    <definedName name="oxiddens1" localSheetId="2">[2]Tables!#REF!</definedName>
    <definedName name="oxiddens1" localSheetId="1">[2]Tables!#REF!</definedName>
    <definedName name="oxiddens1">[2]Tables!#REF!</definedName>
    <definedName name="oxiddens2" localSheetId="2">[2]Tables!#REF!</definedName>
    <definedName name="oxiddens2" localSheetId="1">[2]Tables!#REF!</definedName>
    <definedName name="oxiddens2">[2]Tables!#REF!</definedName>
    <definedName name="oxidtanks" localSheetId="3">#REF!</definedName>
    <definedName name="oxidtanks" localSheetId="2">#REF!</definedName>
    <definedName name="oxidtanks" localSheetId="1">#REF!</definedName>
    <definedName name="oxidtanks">#REF!</definedName>
    <definedName name="PasteBlock1" localSheetId="2">[3]ThermalCDC!#REF!</definedName>
    <definedName name="PasteBlock1" localSheetId="1">[3]ThermalCDC!#REF!</definedName>
    <definedName name="PasteBlock1">[3]ThermalCDC!#REF!</definedName>
    <definedName name="PasteBlock2" localSheetId="2">[3]ThermalCDC!#REF!</definedName>
    <definedName name="PasteBlock2" localSheetId="1">[3]ThermalCDC!#REF!</definedName>
    <definedName name="PasteBlock2">[3]ThermalCDC!#REF!</definedName>
    <definedName name="PayloadCells" localSheetId="3">#REF!</definedName>
    <definedName name="PayloadCells" localSheetId="2">#REF!</definedName>
    <definedName name="PayloadCells" localSheetId="1">#REF!</definedName>
    <definedName name="PayloadCells">#REF!</definedName>
    <definedName name="PayloadTF" localSheetId="3">#REF!</definedName>
    <definedName name="PayloadTF" localSheetId="2">#REF!</definedName>
    <definedName name="PayloadTF" localSheetId="1">#REF!</definedName>
    <definedName name="PayloadTF">#REF!</definedName>
    <definedName name="Pi" localSheetId="3">#REF!</definedName>
    <definedName name="Pi" localSheetId="2">#REF!</definedName>
    <definedName name="Pi" localSheetId="1">#REF!</definedName>
    <definedName name="Pi">#REF!</definedName>
    <definedName name="pl_transmitters">[1]Database!$C$405:$K$415</definedName>
    <definedName name="power_bus">[1]Database!$C$494:$F$497</definedName>
    <definedName name="pressurant_tanks">[1]Database!$C$304:$N$388</definedName>
    <definedName name="pressurants">[1]Database!$C$399:$D$401</definedName>
    <definedName name="ProjectNameCell" localSheetId="3">[3]ThermalCDC!#REF!</definedName>
    <definedName name="ProjectNameCell" localSheetId="2">[3]ThermalCDC!#REF!</definedName>
    <definedName name="ProjectNameCell" localSheetId="1">[3]ThermalCDC!#REF!</definedName>
    <definedName name="ProjectNameCell">[3]ThermalCDC!#REF!</definedName>
    <definedName name="PROP_Current_Mass" localSheetId="3">#REF!</definedName>
    <definedName name="PROP_Current_Mass" localSheetId="2">#REF!</definedName>
    <definedName name="PROP_Current_Mass" localSheetId="1">#REF!</definedName>
    <definedName name="PROP_Current_Mass">#REF!</definedName>
    <definedName name="PROP_g0" localSheetId="3">#REF!</definedName>
    <definedName name="PROP_g0" localSheetId="2">#REF!</definedName>
    <definedName name="PROP_g0" localSheetId="1">#REF!</definedName>
    <definedName name="PROP_g0">#REF!</definedName>
    <definedName name="PROP_Grav_Const" localSheetId="3">#REF!</definedName>
    <definedName name="PROP_Grav_Const" localSheetId="2">#REF!</definedName>
    <definedName name="PROP_Grav_Const" localSheetId="1">#REF!</definedName>
    <definedName name="PROP_Grav_Const">#REF!</definedName>
    <definedName name="PROP_Iteration" localSheetId="2">#REF!</definedName>
    <definedName name="PROP_Iteration" localSheetId="1">#REF!</definedName>
    <definedName name="PROP_Iteration">#REF!</definedName>
    <definedName name="PROP_List_Output" localSheetId="2">#REF!</definedName>
    <definedName name="PROP_List_Output" localSheetId="1">#REF!</definedName>
    <definedName name="PROP_List_Output">#REF!</definedName>
    <definedName name="PROP_List_Previous" localSheetId="2">#REF!</definedName>
    <definedName name="PROP_List_Previous" localSheetId="1">#REF!</definedName>
    <definedName name="PROP_List_Previous">#REF!</definedName>
    <definedName name="PROP_List_Stored" localSheetId="2">#REF!</definedName>
    <definedName name="PROP_List_Stored" localSheetId="1">#REF!</definedName>
    <definedName name="PROP_List_Stored">#REF!</definedName>
    <definedName name="PROP_Planet_Radius" localSheetId="2">#REF!</definedName>
    <definedName name="PROP_Planet_Radius" localSheetId="1">#REF!</definedName>
    <definedName name="PROP_Planet_Radius">#REF!</definedName>
    <definedName name="PROP_Seed_Mass" localSheetId="2">#REF!</definedName>
    <definedName name="PROP_Seed_Mass" localSheetId="1">#REF!</definedName>
    <definedName name="PROP_Seed_Mass">#REF!</definedName>
    <definedName name="propellant_tanks">[1]Database!$C$222:$N$300</definedName>
    <definedName name="propellants">[1]Database!$C$392:$G$395</definedName>
    <definedName name="propmasson" localSheetId="3">#REF!</definedName>
    <definedName name="propmasson" localSheetId="2">#REF!</definedName>
    <definedName name="propmasson" localSheetId="1">#REF!</definedName>
    <definedName name="propmasson">#REF!</definedName>
    <definedName name="propmasstransfer" localSheetId="3">#REF!</definedName>
    <definedName name="propmasstransfer" localSheetId="2">#REF!</definedName>
    <definedName name="propmasstransfer" localSheetId="1">#REF!</definedName>
    <definedName name="propmasstransfer">#REF!</definedName>
    <definedName name="Ratio" localSheetId="3">[2]Tables!#REF!</definedName>
    <definedName name="Ratio" localSheetId="2">[2]Tables!#REF!</definedName>
    <definedName name="Ratio" localSheetId="1">[2]Tables!#REF!</definedName>
    <definedName name="Ratio">[2]Tables!#REF!</definedName>
    <definedName name="ratio1" localSheetId="3">[2]Tables!#REF!</definedName>
    <definedName name="ratio1" localSheetId="2">[2]Tables!#REF!</definedName>
    <definedName name="ratio1" localSheetId="1">[2]Tables!#REF!</definedName>
    <definedName name="ratio1">[2]Tables!#REF!</definedName>
    <definedName name="ratio2" localSheetId="3">[2]Tables!#REF!</definedName>
    <definedName name="ratio2" localSheetId="2">[2]Tables!#REF!</definedName>
    <definedName name="ratio2" localSheetId="1">[2]Tables!#REF!</definedName>
    <definedName name="ratio2">[2]Tables!#REF!</definedName>
    <definedName name="ratio3" localSheetId="3">[2]Tables!#REF!</definedName>
    <definedName name="ratio3" localSheetId="2">[2]Tables!#REF!</definedName>
    <definedName name="ratio3" localSheetId="1">[2]Tables!#REF!</definedName>
    <definedName name="ratio3">[2]Tables!#REF!</definedName>
    <definedName name="ratio4" localSheetId="3">[2]Tables!#REF!</definedName>
    <definedName name="ratio4" localSheetId="2">[2]Tables!#REF!</definedName>
    <definedName name="ratio4" localSheetId="1">[2]Tables!#REF!</definedName>
    <definedName name="ratio4">[2]Tables!#REF!</definedName>
    <definedName name="rcs_thrusters">[1]Database!$C$207:$K$218</definedName>
    <definedName name="Rearth">6378.137</definedName>
    <definedName name="rxn_wheels">[1]Database!$C$163:$N$180</definedName>
    <definedName name="saveTF" localSheetId="3">#REF!</definedName>
    <definedName name="saveTF" localSheetId="2">#REF!</definedName>
    <definedName name="saveTF" localSheetId="1">#REF!</definedName>
    <definedName name="saveTF">#REF!</definedName>
    <definedName name="solar_arrays">[1]Database!$C$472:$G$481</definedName>
    <definedName name="solidstate_recorders">[1]Database!$C$453:$K$462</definedName>
    <definedName name="solver_adj">[1]Summary!$D$6,[1]Summary!$D$8,[1]Summary!$D$9</definedName>
    <definedName name="solver_lin">0</definedName>
    <definedName name="solver_num">0</definedName>
    <definedName name="solver_opt">[1]Summary!$H$10</definedName>
    <definedName name="solver_typ">2</definedName>
    <definedName name="solver_val">0</definedName>
    <definedName name="space_computers">[1]Database!$C$441:$H$449</definedName>
    <definedName name="star_trackers">[1]Database!$C$54:$O$73</definedName>
    <definedName name="structure_materials">[1]Database!$C$501:$E$508</definedName>
    <definedName name="sun_sensors">[1]Database!$C$4:$K$23</definedName>
    <definedName name="SunSensor1">[1]Database!$C$3</definedName>
    <definedName name="Thrusters">'[1]Future DB'!$C$104:$V$124</definedName>
    <definedName name="ttc_encoders">[1]Database!$C$433:$I$437</definedName>
    <definedName name="ttc_transponders">[1]Database!$C$419:$L$429</definedName>
    <definedName name="unit1" localSheetId="3">#REF!</definedName>
    <definedName name="unit1" localSheetId="2">#REF!</definedName>
    <definedName name="unit1" localSheetId="1">#REF!</definedName>
    <definedName name="unit1">#REF!</definedName>
    <definedName name="unit2" localSheetId="3">#REF!</definedName>
    <definedName name="unit2" localSheetId="2">#REF!</definedName>
    <definedName name="unit2" localSheetId="1">#REF!</definedName>
    <definedName name="unit2">#REF!</definedName>
    <definedName name="unit3" localSheetId="3">#REF!</definedName>
    <definedName name="unit3" localSheetId="2">#REF!</definedName>
    <definedName name="unit3" localSheetId="1">#REF!</definedName>
    <definedName name="unit3">#REF!</definedName>
    <definedName name="voloxid" localSheetId="2">#REF!</definedName>
    <definedName name="voloxid" localSheetId="1">#REF!</definedName>
    <definedName name="voloxid">#REF!</definedName>
    <definedName name="WorkbookNameCell" localSheetId="3">[3]ThermalCDC!#REF!</definedName>
    <definedName name="WorkbookNameCell" localSheetId="2">[3]ThermalCDC!#REF!</definedName>
    <definedName name="WorkbookNameCell" localSheetId="1">[3]ThermalCDC!#REF!</definedName>
    <definedName name="WorkbookNameCell">[3]ThermalCDC!#REF!</definedName>
  </definedNames>
  <calcPr calcId="162913"/>
</workbook>
</file>

<file path=xl/calcChain.xml><?xml version="1.0" encoding="utf-8"?>
<calcChain xmlns="http://schemas.openxmlformats.org/spreadsheetml/2006/main">
  <c r="O19" i="32" l="1"/>
  <c r="O16" i="32"/>
  <c r="O15" i="32"/>
  <c r="O17" i="32" s="1"/>
  <c r="O14" i="32"/>
  <c r="I24" i="32"/>
  <c r="I14" i="32"/>
  <c r="O18" i="32" l="1"/>
  <c r="O20" i="32"/>
  <c r="I23" i="32"/>
  <c r="E177" i="32"/>
  <c r="N176" i="32"/>
  <c r="M176" i="32"/>
  <c r="E176" i="32"/>
  <c r="N175" i="32"/>
  <c r="M175" i="32"/>
  <c r="E175" i="32"/>
  <c r="N174" i="32"/>
  <c r="M174" i="32"/>
  <c r="J142" i="32"/>
  <c r="I142" i="32"/>
  <c r="H142" i="32"/>
  <c r="J141" i="32"/>
  <c r="I141" i="32"/>
  <c r="J140" i="32"/>
  <c r="I140" i="32"/>
  <c r="H140" i="32"/>
  <c r="J139" i="32"/>
  <c r="I139" i="32"/>
  <c r="I138" i="32"/>
  <c r="E137" i="32"/>
  <c r="E136" i="32"/>
  <c r="E135" i="32"/>
  <c r="E134" i="32"/>
  <c r="E133" i="32"/>
  <c r="E132" i="32"/>
  <c r="E131" i="32"/>
  <c r="E130" i="32"/>
  <c r="E129" i="32"/>
  <c r="E128" i="32"/>
  <c r="E127" i="32"/>
  <c r="E126" i="32"/>
  <c r="E125" i="32"/>
  <c r="E124" i="32"/>
  <c r="J123" i="32"/>
  <c r="I123" i="32"/>
  <c r="E123" i="32"/>
  <c r="E122" i="32"/>
  <c r="Y121" i="32"/>
  <c r="X121" i="32"/>
  <c r="J121" i="32"/>
  <c r="I121" i="32"/>
  <c r="E121" i="32"/>
  <c r="Y120" i="32"/>
  <c r="X120" i="32"/>
  <c r="J120" i="32"/>
  <c r="I120" i="32"/>
  <c r="E120" i="32"/>
  <c r="Y119" i="32"/>
  <c r="X119" i="32"/>
  <c r="J119" i="32"/>
  <c r="I119" i="32"/>
  <c r="E119" i="32"/>
  <c r="J118" i="32"/>
  <c r="I118" i="32"/>
  <c r="E118" i="32"/>
  <c r="J117" i="32"/>
  <c r="I117" i="32"/>
  <c r="E117" i="32"/>
  <c r="J116" i="32"/>
  <c r="I116" i="32"/>
  <c r="E116" i="32"/>
  <c r="J115" i="32"/>
  <c r="I115" i="32"/>
  <c r="E115" i="32"/>
  <c r="J114" i="32"/>
  <c r="I114" i="32"/>
  <c r="E114" i="32"/>
  <c r="R113" i="32"/>
  <c r="E113" i="32"/>
  <c r="R112" i="32"/>
  <c r="E112" i="32"/>
  <c r="R111" i="32"/>
  <c r="R110" i="32"/>
  <c r="Y109" i="32"/>
  <c r="X109" i="32"/>
  <c r="V109" i="32"/>
  <c r="J109" i="32"/>
  <c r="I109" i="32"/>
  <c r="H109" i="32"/>
  <c r="F109" i="32"/>
  <c r="E109" i="32"/>
  <c r="Y108" i="32"/>
  <c r="X108" i="32"/>
  <c r="J108" i="32"/>
  <c r="I108" i="32"/>
  <c r="E108" i="32"/>
  <c r="E107" i="32"/>
  <c r="E106" i="32"/>
  <c r="H105" i="32"/>
  <c r="E105" i="32"/>
  <c r="J104" i="32"/>
  <c r="I104" i="32"/>
  <c r="F104" i="32"/>
  <c r="J103" i="32"/>
  <c r="I103" i="32"/>
  <c r="F103" i="32"/>
  <c r="J102" i="32"/>
  <c r="I102" i="32"/>
  <c r="F102" i="32"/>
  <c r="V101" i="32"/>
  <c r="J101" i="32"/>
  <c r="I101" i="32"/>
  <c r="F101" i="32"/>
  <c r="J100" i="32"/>
  <c r="I100" i="32"/>
  <c r="F100" i="32"/>
  <c r="J99" i="32"/>
  <c r="I99" i="32"/>
  <c r="J98" i="32"/>
  <c r="I98" i="32"/>
  <c r="J97" i="32"/>
  <c r="I97" i="32"/>
  <c r="J96" i="32"/>
  <c r="I96" i="32"/>
  <c r="J95" i="32"/>
  <c r="I95" i="32"/>
  <c r="Y94" i="32"/>
  <c r="X94" i="32"/>
  <c r="V94" i="32"/>
  <c r="J94" i="32"/>
  <c r="I94" i="32"/>
  <c r="H94" i="32"/>
  <c r="F94" i="32"/>
  <c r="Y93" i="32"/>
  <c r="X93" i="32"/>
  <c r="V93" i="32"/>
  <c r="J93" i="32"/>
  <c r="I93" i="32"/>
  <c r="H93" i="32"/>
  <c r="F93" i="32"/>
  <c r="Y92" i="32"/>
  <c r="X92" i="32"/>
  <c r="V92" i="32"/>
  <c r="J92" i="32"/>
  <c r="I92" i="32"/>
  <c r="H92" i="32"/>
  <c r="F92" i="32"/>
  <c r="Y91" i="32"/>
  <c r="X91" i="32"/>
  <c r="V91" i="32"/>
  <c r="J91" i="32"/>
  <c r="I91" i="32"/>
  <c r="H91" i="32"/>
  <c r="F91" i="32"/>
  <c r="Y90" i="32"/>
  <c r="X90" i="32"/>
  <c r="V90" i="32"/>
  <c r="J90" i="32"/>
  <c r="I90" i="32"/>
  <c r="H90" i="32"/>
  <c r="F90" i="32"/>
  <c r="Y89" i="32"/>
  <c r="X89" i="32"/>
  <c r="V89" i="32"/>
  <c r="J89" i="32"/>
  <c r="I89" i="32"/>
  <c r="H89" i="32"/>
  <c r="F89" i="32"/>
  <c r="Y88" i="32"/>
  <c r="X88" i="32"/>
  <c r="V88" i="32"/>
  <c r="J88" i="32"/>
  <c r="I88" i="32"/>
  <c r="H88" i="32"/>
  <c r="F88" i="32"/>
  <c r="Y87" i="32"/>
  <c r="X87" i="32"/>
  <c r="V87" i="32"/>
  <c r="J87" i="32"/>
  <c r="I87" i="32"/>
  <c r="H87" i="32"/>
  <c r="F87" i="32"/>
  <c r="Y86" i="32"/>
  <c r="X86" i="32"/>
  <c r="V86" i="32"/>
  <c r="J86" i="32"/>
  <c r="I86" i="32"/>
  <c r="H86" i="32"/>
  <c r="F86" i="32"/>
  <c r="Y85" i="32"/>
  <c r="X85" i="32"/>
  <c r="V85" i="32"/>
  <c r="J85" i="32"/>
  <c r="I85" i="32"/>
  <c r="H85" i="32"/>
  <c r="F85" i="32"/>
  <c r="AD84" i="32"/>
  <c r="AD85" i="32" s="1"/>
  <c r="X84" i="32"/>
  <c r="J84" i="32"/>
  <c r="I84" i="32"/>
  <c r="H84" i="32"/>
  <c r="J83" i="32"/>
  <c r="I83" i="32"/>
  <c r="E79" i="32"/>
  <c r="C79" i="32"/>
  <c r="E78" i="32"/>
  <c r="C78" i="32"/>
  <c r="E77" i="32"/>
  <c r="C77" i="32"/>
  <c r="E76" i="32"/>
  <c r="C76" i="32"/>
  <c r="F68" i="32"/>
  <c r="D60" i="32"/>
  <c r="D33" i="32"/>
  <c r="D32" i="32"/>
  <c r="I22" i="32"/>
  <c r="I21" i="32"/>
  <c r="I20" i="32"/>
  <c r="I19" i="32"/>
  <c r="D19" i="32"/>
  <c r="D36" i="32" s="1"/>
  <c r="I18" i="32"/>
  <c r="D18" i="32"/>
  <c r="D17" i="32"/>
  <c r="D16" i="32"/>
  <c r="D20" i="32" s="1"/>
  <c r="D15" i="32"/>
  <c r="D21" i="32"/>
  <c r="I25" i="32"/>
  <c r="I28" i="32" l="1"/>
  <c r="I29" i="32" s="1"/>
  <c r="D23" i="32"/>
  <c r="D24" i="32" s="1"/>
  <c r="D22" i="32"/>
  <c r="D30" i="32" s="1"/>
  <c r="D37" i="32" s="1"/>
  <c r="D38" i="32" s="1"/>
  <c r="O21" i="32"/>
  <c r="I26" i="32"/>
  <c r="I31" i="32" s="1"/>
  <c r="D47" i="32"/>
  <c r="D39" i="32" l="1"/>
  <c r="D40" i="32" s="1"/>
  <c r="D41" i="32" s="1"/>
  <c r="I27" i="32"/>
  <c r="I30" i="32" s="1"/>
  <c r="D49" i="32"/>
  <c r="D48" i="32"/>
  <c r="D42" i="32" l="1"/>
  <c r="D51" i="32"/>
  <c r="D56" i="32" s="1"/>
  <c r="D54" i="32"/>
  <c r="D52" i="32"/>
  <c r="D57" i="32"/>
  <c r="D55" i="32"/>
  <c r="D53" i="32"/>
  <c r="D58" i="32" l="1"/>
  <c r="D61" i="32"/>
  <c r="D62" i="32" s="1"/>
  <c r="D64" i="32" s="1"/>
  <c r="D63" i="32" l="1"/>
  <c r="D26" i="32"/>
  <c r="D25" i="32"/>
</calcChain>
</file>

<file path=xl/comments1.xml><?xml version="1.0" encoding="utf-8"?>
<comments xmlns="http://schemas.openxmlformats.org/spreadsheetml/2006/main">
  <authors>
    <author>Charles M Swenson</author>
    <author>Mark J. Mueller</author>
    <author>MJM20380</author>
  </authors>
  <commentList>
    <comment ref="G15" authorId="0" shapeId="0">
      <text>
        <r>
          <rPr>
            <b/>
            <sz val="9"/>
            <color indexed="81"/>
            <rFont val="Tahoma"/>
            <family val="2"/>
          </rPr>
          <t>Charles M Swenson:</t>
        </r>
        <r>
          <rPr>
            <sz val="9"/>
            <color indexed="81"/>
            <rFont val="Tahoma"/>
            <family val="2"/>
          </rPr>
          <t xml:space="preserve">
For a solar powered satellite this is the ratio of the mass of the solar panels to the power produced taking into account the efficiency of the solar cells and the inefficiently of the power processing electronics of the electric thruster.
Numbers in the range of 0.02 (good) to 0.04 (bad) are expected.
 </t>
        </r>
      </text>
    </comment>
    <comment ref="M21" authorId="0" shapeId="0">
      <text>
        <r>
          <rPr>
            <b/>
            <sz val="9"/>
            <color indexed="81"/>
            <rFont val="Tahoma"/>
            <family val="2"/>
          </rPr>
          <t xml:space="preserve">Charles M Swenson:
This demonstrates how to assign the goal seek to a macro button (see the VBA code)
</t>
        </r>
        <r>
          <rPr>
            <sz val="9"/>
            <color indexed="81"/>
            <rFont val="Tahoma"/>
            <family val="2"/>
          </rPr>
          <t xml:space="preserve">
Use Goal Seek to set this to zero by changing Operating time in the Electric Propulsion Module
the input and output cells have to be linked between these tools for this to work or make sense. Link the Acceleration and the Delta V boxes between these tools... </t>
        </r>
      </text>
    </comment>
    <comment ref="B36" authorId="0" shapeId="0">
      <text>
        <r>
          <rPr>
            <b/>
            <sz val="9"/>
            <color indexed="81"/>
            <rFont val="Tahoma"/>
            <family val="2"/>
          </rPr>
          <t>Charles M Swenson:</t>
        </r>
        <r>
          <rPr>
            <sz val="9"/>
            <color indexed="81"/>
            <rFont val="Tahoma"/>
            <family val="2"/>
          </rPr>
          <t xml:space="preserve">
typical tank pressure times the required factor of safety for the design.</t>
        </r>
      </text>
    </comment>
    <comment ref="W95" authorId="1" shapeId="0">
      <text>
        <r>
          <rPr>
            <b/>
            <sz val="8"/>
            <color indexed="81"/>
            <rFont val="Tahoma"/>
            <family val="2"/>
          </rPr>
          <t>Hamilton Standard Hydrazine Propulsion Experience</t>
        </r>
        <r>
          <rPr>
            <sz val="8"/>
            <color indexed="81"/>
            <rFont val="Tahoma"/>
            <family val="2"/>
          </rPr>
          <t xml:space="preserve">
1989 (?)</t>
        </r>
      </text>
    </comment>
    <comment ref="W96" authorId="1" shapeId="0">
      <text>
        <r>
          <rPr>
            <b/>
            <sz val="8"/>
            <color indexed="81"/>
            <rFont val="Tahoma"/>
            <family val="2"/>
          </rPr>
          <t>Hamilton Standard Hydrazine Propulsion Experience</t>
        </r>
        <r>
          <rPr>
            <sz val="8"/>
            <color indexed="81"/>
            <rFont val="Tahoma"/>
            <family val="2"/>
          </rPr>
          <t xml:space="preserve">
1989 (?)</t>
        </r>
      </text>
    </comment>
    <comment ref="W97" authorId="1" shapeId="0">
      <text>
        <r>
          <rPr>
            <b/>
            <sz val="8"/>
            <color indexed="81"/>
            <rFont val="Tahoma"/>
            <family val="2"/>
          </rPr>
          <t>Hamilton Standard Hydrazine Propulsion Experience</t>
        </r>
        <r>
          <rPr>
            <sz val="8"/>
            <color indexed="81"/>
            <rFont val="Tahoma"/>
            <family val="2"/>
          </rPr>
          <t xml:space="preserve">
1989 (?)</t>
        </r>
      </text>
    </comment>
    <comment ref="X100" authorId="1" shapeId="0">
      <text>
        <r>
          <rPr>
            <sz val="8"/>
            <color indexed="81"/>
            <rFont val="Tahoma"/>
            <family val="2"/>
          </rPr>
          <t>Envelope is for Dual Thruster Module</t>
        </r>
      </text>
    </comment>
    <comment ref="X101" authorId="1" shapeId="0">
      <text>
        <r>
          <rPr>
            <sz val="8"/>
            <color indexed="81"/>
            <rFont val="Tahoma"/>
            <family val="2"/>
          </rPr>
          <t>Envelope is for Dual Thruster Module</t>
        </r>
      </text>
    </comment>
    <comment ref="X103" authorId="1" shapeId="0">
      <text>
        <r>
          <rPr>
            <sz val="8"/>
            <color indexed="81"/>
            <rFont val="Tahoma"/>
            <family val="2"/>
          </rPr>
          <t>Envelope is for Dual Thruster Module</t>
        </r>
      </text>
    </comment>
    <comment ref="E177" authorId="1" shapeId="0">
      <text>
        <r>
          <rPr>
            <sz val="8"/>
            <color indexed="81"/>
            <rFont val="Tahoma"/>
            <family val="2"/>
          </rPr>
          <t xml:space="preserve">1.12 for thruster/cathode
1.34 for XFS
</t>
        </r>
      </text>
    </comment>
    <comment ref="J180" authorId="2" shapeId="0">
      <text>
        <r>
          <rPr>
            <b/>
            <sz val="8"/>
            <color indexed="81"/>
            <rFont val="Tahoma"/>
            <family val="2"/>
          </rPr>
          <t>ISP:</t>
        </r>
        <r>
          <rPr>
            <sz val="8"/>
            <color indexed="81"/>
            <rFont val="Tahoma"/>
            <family val="2"/>
          </rPr>
          <t xml:space="preserve">
3700 is nominal
3500 is spec min for WGS</t>
        </r>
      </text>
    </comment>
  </commentList>
</comments>
</file>

<file path=xl/comments2.xml><?xml version="1.0" encoding="utf-8"?>
<comments xmlns="http://schemas.openxmlformats.org/spreadsheetml/2006/main">
  <authors>
    <author>Charles M Swenson</author>
    <author>Mark J. Mueller</author>
    <author>MJM20380</author>
  </authors>
  <commentList>
    <comment ref="G15" authorId="0" shapeId="0">
      <text>
        <r>
          <rPr>
            <b/>
            <sz val="9"/>
            <color indexed="81"/>
            <rFont val="Tahoma"/>
            <family val="2"/>
          </rPr>
          <t>Charles M Swenson:</t>
        </r>
        <r>
          <rPr>
            <sz val="9"/>
            <color indexed="81"/>
            <rFont val="Tahoma"/>
            <family val="2"/>
          </rPr>
          <t xml:space="preserve">
For a solar powered satellite this is the ratio of the mass of the solar panels to the power produced taking into account the efficiency of the solar cells and the inefficiently of the power processing electronics of the electric thruster.
Numbers in the range of 0.02 (good) to 0.04 (bad) are expected.
 </t>
        </r>
      </text>
    </comment>
    <comment ref="M21" authorId="0" shapeId="0">
      <text>
        <r>
          <rPr>
            <b/>
            <sz val="9"/>
            <color indexed="81"/>
            <rFont val="Tahoma"/>
            <family val="2"/>
          </rPr>
          <t xml:space="preserve">Charles M Swenson:
This demonstrates how to assign the goal seek to a macro button (see the VBA code)
</t>
        </r>
        <r>
          <rPr>
            <sz val="9"/>
            <color indexed="81"/>
            <rFont val="Tahoma"/>
            <family val="2"/>
          </rPr>
          <t xml:space="preserve">
Use Goal Seek to set this to zero by changing Operating time in the Electric Propulsion Module
the input and output cells have to be linked between these tools for this to work or make sense. Link the Acceleration and the Delta V boxes between these tools... </t>
        </r>
      </text>
    </comment>
    <comment ref="B36" authorId="0" shapeId="0">
      <text>
        <r>
          <rPr>
            <b/>
            <sz val="9"/>
            <color indexed="81"/>
            <rFont val="Tahoma"/>
            <family val="2"/>
          </rPr>
          <t>Charles M Swenson:</t>
        </r>
        <r>
          <rPr>
            <sz val="9"/>
            <color indexed="81"/>
            <rFont val="Tahoma"/>
            <family val="2"/>
          </rPr>
          <t xml:space="preserve">
typical tank pressure times the required factor of safety for the design.</t>
        </r>
      </text>
    </comment>
    <comment ref="W95" authorId="1" shapeId="0">
      <text>
        <r>
          <rPr>
            <b/>
            <sz val="8"/>
            <color indexed="81"/>
            <rFont val="Tahoma"/>
            <family val="2"/>
          </rPr>
          <t>Hamilton Standard Hydrazine Propulsion Experience</t>
        </r>
        <r>
          <rPr>
            <sz val="8"/>
            <color indexed="81"/>
            <rFont val="Tahoma"/>
            <family val="2"/>
          </rPr>
          <t xml:space="preserve">
1989 (?)</t>
        </r>
      </text>
    </comment>
    <comment ref="W96" authorId="1" shapeId="0">
      <text>
        <r>
          <rPr>
            <b/>
            <sz val="8"/>
            <color indexed="81"/>
            <rFont val="Tahoma"/>
            <family val="2"/>
          </rPr>
          <t>Hamilton Standard Hydrazine Propulsion Experience</t>
        </r>
        <r>
          <rPr>
            <sz val="8"/>
            <color indexed="81"/>
            <rFont val="Tahoma"/>
            <family val="2"/>
          </rPr>
          <t xml:space="preserve">
1989 (?)</t>
        </r>
      </text>
    </comment>
    <comment ref="W97" authorId="1" shapeId="0">
      <text>
        <r>
          <rPr>
            <b/>
            <sz val="8"/>
            <color indexed="81"/>
            <rFont val="Tahoma"/>
            <family val="2"/>
          </rPr>
          <t>Hamilton Standard Hydrazine Propulsion Experience</t>
        </r>
        <r>
          <rPr>
            <sz val="8"/>
            <color indexed="81"/>
            <rFont val="Tahoma"/>
            <family val="2"/>
          </rPr>
          <t xml:space="preserve">
1989 (?)</t>
        </r>
      </text>
    </comment>
    <comment ref="X100" authorId="1" shapeId="0">
      <text>
        <r>
          <rPr>
            <sz val="8"/>
            <color indexed="81"/>
            <rFont val="Tahoma"/>
            <family val="2"/>
          </rPr>
          <t>Envelope is for Dual Thruster Module</t>
        </r>
      </text>
    </comment>
    <comment ref="X101" authorId="1" shapeId="0">
      <text>
        <r>
          <rPr>
            <sz val="8"/>
            <color indexed="81"/>
            <rFont val="Tahoma"/>
            <family val="2"/>
          </rPr>
          <t>Envelope is for Dual Thruster Module</t>
        </r>
      </text>
    </comment>
    <comment ref="X103" authorId="1" shapeId="0">
      <text>
        <r>
          <rPr>
            <sz val="8"/>
            <color indexed="81"/>
            <rFont val="Tahoma"/>
            <family val="2"/>
          </rPr>
          <t>Envelope is for Dual Thruster Module</t>
        </r>
      </text>
    </comment>
    <comment ref="E177" authorId="1" shapeId="0">
      <text>
        <r>
          <rPr>
            <sz val="8"/>
            <color indexed="81"/>
            <rFont val="Tahoma"/>
            <family val="2"/>
          </rPr>
          <t xml:space="preserve">1.12 for thruster/cathode
1.34 for XFS
</t>
        </r>
      </text>
    </comment>
    <comment ref="J180" authorId="2" shapeId="0">
      <text>
        <r>
          <rPr>
            <b/>
            <sz val="8"/>
            <color indexed="81"/>
            <rFont val="Tahoma"/>
            <family val="2"/>
          </rPr>
          <t>ISP:</t>
        </r>
        <r>
          <rPr>
            <sz val="8"/>
            <color indexed="81"/>
            <rFont val="Tahoma"/>
            <family val="2"/>
          </rPr>
          <t xml:space="preserve">
3700 is nominal
3500 is spec min for WGS</t>
        </r>
      </text>
    </comment>
  </commentList>
</comments>
</file>

<file path=xl/sharedStrings.xml><?xml version="1.0" encoding="utf-8"?>
<sst xmlns="http://schemas.openxmlformats.org/spreadsheetml/2006/main" count="1716" uniqueCount="580">
  <si>
    <t>Constants</t>
  </si>
  <si>
    <t>Symbol</t>
  </si>
  <si>
    <t>Hydrazine</t>
  </si>
  <si>
    <t>Values</t>
  </si>
  <si>
    <t>Version</t>
  </si>
  <si>
    <t>Date</t>
  </si>
  <si>
    <t>Revised by</t>
  </si>
  <si>
    <t>Summary of Changes</t>
  </si>
  <si>
    <t>To Do Sometime</t>
  </si>
  <si>
    <t>Propulsion Worksheets</t>
  </si>
  <si>
    <t>Color Code Key</t>
  </si>
  <si>
    <t>User Inputs</t>
  </si>
  <si>
    <t>Required delta V</t>
  </si>
  <si>
    <t>Electric Propulsion</t>
  </si>
  <si>
    <t>Value</t>
  </si>
  <si>
    <t>Units</t>
  </si>
  <si>
    <t>kg</t>
  </si>
  <si>
    <t>W</t>
  </si>
  <si>
    <t>PPU Efficiency</t>
  </si>
  <si>
    <t>Comments</t>
  </si>
  <si>
    <t>Manufacturer</t>
  </si>
  <si>
    <t>Model</t>
  </si>
  <si>
    <t>Peak Power (W)</t>
  </si>
  <si>
    <t>Nom. Thrust (N)</t>
  </si>
  <si>
    <t>Max. Inlet P (kPa)</t>
  </si>
  <si>
    <t>Min. Inlet P (kPa)</t>
  </si>
  <si>
    <t>Pulse Isp (sec)</t>
  </si>
  <si>
    <t>NASA TRL #</t>
  </si>
  <si>
    <t>Typical Firing Duration [min]</t>
  </si>
  <si>
    <t>Total Pulses</t>
  </si>
  <si>
    <t>Height (cm)</t>
  </si>
  <si>
    <t>Length (cm)</t>
  </si>
  <si>
    <t>Source of Information</t>
  </si>
  <si>
    <t>Moog, 0.001-lbf cold gas</t>
  </si>
  <si>
    <t>58E125A</t>
  </si>
  <si>
    <t>Pluto FlyBy</t>
  </si>
  <si>
    <t>Moog Space Products Division catalog (1998)</t>
  </si>
  <si>
    <t>Moog, 0.8-lbf cold gas</t>
  </si>
  <si>
    <t>58-118</t>
  </si>
  <si>
    <t>SAFER (NASA)</t>
  </si>
  <si>
    <t>Moog, 10-lbf cold gas</t>
  </si>
  <si>
    <t>50-673</t>
  </si>
  <si>
    <t>Developed for COMET (Commercial Experimental Transporter)</t>
  </si>
  <si>
    <t>Moog, 24-lbf cold gas</t>
  </si>
  <si>
    <t>50-820</t>
  </si>
  <si>
    <t>Pegasus XL ACS</t>
  </si>
  <si>
    <t>Moog, 60-lbf cold gas</t>
  </si>
  <si>
    <t>58-126</t>
  </si>
  <si>
    <t>Pegasus ACS</t>
  </si>
  <si>
    <t>Thruster Mass (kg)</t>
  </si>
  <si>
    <t>PPU Mass (kg/thruster)</t>
  </si>
  <si>
    <t>Thermal Mass (kg/kW)</t>
  </si>
  <si>
    <t>Eng. Eff.</t>
  </si>
  <si>
    <t>Lifetime (hrs)</t>
  </si>
  <si>
    <t># Thrusters / PPU</t>
  </si>
  <si>
    <t>ISTI SPT-100</t>
  </si>
  <si>
    <t>SPT-100</t>
  </si>
  <si>
    <t>Flight Qualified (?).
ISTI is ARC, SEP, &amp; Fakel</t>
  </si>
  <si>
    <t>ARC Marketing flier (1998, ?)</t>
  </si>
  <si>
    <t>ISTI SPT-140</t>
  </si>
  <si>
    <t>SPT-140</t>
  </si>
  <si>
    <t>Development Unit</t>
  </si>
  <si>
    <t>AIAA 98-4041</t>
  </si>
  <si>
    <t>SPI T-100E</t>
  </si>
  <si>
    <t>T-100E</t>
  </si>
  <si>
    <t>development</t>
  </si>
  <si>
    <t>SPI Marketing flyer (1998).
SPI is Matra Marconi Space &amp; Keldysh Research Center (KeRC)</t>
  </si>
  <si>
    <t>SPI T-160E</t>
  </si>
  <si>
    <t>T-160E</t>
  </si>
  <si>
    <t>Boeing/TsNIIMASh, D-38</t>
  </si>
  <si>
    <t>D-38</t>
  </si>
  <si>
    <t>TsNIIMASh marketing flyer (1998)</t>
  </si>
  <si>
    <t>Boeing/TsNIIMASh, D-55</t>
  </si>
  <si>
    <t>D-55</t>
  </si>
  <si>
    <t>BPT-2000</t>
  </si>
  <si>
    <t>Prototype unit fabricated and tested</t>
  </si>
  <si>
    <t>Aerojet Marketing Information (circa 2003)</t>
  </si>
  <si>
    <t>BPT-4000 (High Power)</t>
  </si>
  <si>
    <t>BPT-4000</t>
  </si>
  <si>
    <t>Qualified</t>
  </si>
  <si>
    <t>AIAA 98-3338 modified by Adv EHF material (Proprietary)</t>
  </si>
  <si>
    <t>BPT-4000 (Low Power)</t>
  </si>
  <si>
    <t>Adv EHF material (Proprietary)</t>
  </si>
  <si>
    <t>UK-10 / T5</t>
  </si>
  <si>
    <t>UK-10</t>
  </si>
  <si>
    <t>AIAA 97-3196 &amp; CPIA Bulletin Vol 23 #5, Sept 1997</t>
  </si>
  <si>
    <t>BSS 13 cm XIPS</t>
  </si>
  <si>
    <t>13 XIT</t>
  </si>
  <si>
    <t>HS-601HP</t>
  </si>
  <si>
    <t>CPIA Bulletin Vol 23 #5, Sept 1997</t>
  </si>
  <si>
    <t>BSS 25 cm XIPS (High Power)</t>
  </si>
  <si>
    <t>25 XIT</t>
  </si>
  <si>
    <t>HS-702</t>
  </si>
  <si>
    <t>CPIA Bulletin Vol 23 #5, Sept 1997
corrected using WGS (Proprietary) values</t>
  </si>
  <si>
    <t>BSS 25cm XIPS (Low Power)</t>
  </si>
  <si>
    <t>Wideband Gapfiller Satellite PROPRIETARY data</t>
  </si>
  <si>
    <t>BSS 30 cm XIPS (NSTAR)</t>
  </si>
  <si>
    <t>30 XIT</t>
  </si>
  <si>
    <t>Deep Space 1</t>
  </si>
  <si>
    <t>AIAA 98-3936
Mass from CPIA Bulletin Vol 23 #5, Sept 1997</t>
  </si>
  <si>
    <t>Busek 200W HET</t>
  </si>
  <si>
    <t>200W HET</t>
  </si>
  <si>
    <t>AFRL (Edwards) research with Northrup Grumman. Undergoing life testing as of June 03</t>
  </si>
  <si>
    <t>AFRL Technology Info.  Probably proprietary to Northrup Grumman and Busek. Daron.Bromaghim@edwards.af.mil</t>
  </si>
  <si>
    <t>Pulsed Plasma Thrusters</t>
  </si>
  <si>
    <t>LES 8/9</t>
  </si>
  <si>
    <t>1974 technology</t>
  </si>
  <si>
    <t>Primex catalog (1997)</t>
  </si>
  <si>
    <t>Aerojet PRS-101</t>
  </si>
  <si>
    <t>PRS-101</t>
  </si>
  <si>
    <t>Completing qualification
Mighty SAT, EO-1</t>
  </si>
  <si>
    <t>Avg Isp (sec)</t>
  </si>
  <si>
    <t>Primex, 0.2-lbf mono</t>
  </si>
  <si>
    <t>MR-103G</t>
  </si>
  <si>
    <t>Astra, GPS (-103C), Iridium, A2100</t>
  </si>
  <si>
    <t>Primex, 0.5-lbf mono</t>
  </si>
  <si>
    <t>MR-111E</t>
  </si>
  <si>
    <t>several LMC satellites</t>
  </si>
  <si>
    <t>Primex, 1.0-lbf mono</t>
  </si>
  <si>
    <t>MR-111C</t>
  </si>
  <si>
    <t>LMC satellites, Mars Pathfinder, Telstar 4, INTELSAT, GPS IIF, MARS 98, Mars Observer</t>
  </si>
  <si>
    <t>Primex, 5.0-lbf mono (NASA)</t>
  </si>
  <si>
    <t>MR-50S</t>
  </si>
  <si>
    <t>GGS, EOS (NASA)</t>
  </si>
  <si>
    <t>Primex, 5.0-lbf mono</t>
  </si>
  <si>
    <t>MR-106E</t>
  </si>
  <si>
    <t>GPS IIR, GPS IIF, A2100</t>
  </si>
  <si>
    <t>Primex, 20-lbf mono</t>
  </si>
  <si>
    <t>MR-120</t>
  </si>
  <si>
    <t>Small ICBM</t>
  </si>
  <si>
    <t>Primex, 30-lbf mono</t>
  </si>
  <si>
    <t>MR-107L</t>
  </si>
  <si>
    <t>STEP (TRW)</t>
  </si>
  <si>
    <t>Primex, 40-lbf mono</t>
  </si>
  <si>
    <t>MR-107B</t>
  </si>
  <si>
    <t>Delta, Delta PAM</t>
  </si>
  <si>
    <t>Primex, 50-lbf mono</t>
  </si>
  <si>
    <t>MR-107M</t>
  </si>
  <si>
    <t>Athena OAM</t>
  </si>
  <si>
    <t>Primex, 60-lbf mono</t>
  </si>
  <si>
    <t>MR-107N</t>
  </si>
  <si>
    <t>Mars-98 (NASA)</t>
  </si>
  <si>
    <t>Primex, 100-lbf mono</t>
  </si>
  <si>
    <t>MR-104C</t>
  </si>
  <si>
    <t>Magellan (JPL) , Landsat, DMSP</t>
  </si>
  <si>
    <t>ARC, 0.2-lbf mono</t>
  </si>
  <si>
    <t>MONARC-1</t>
  </si>
  <si>
    <t>Flight Qualified.
Straight, 90 deg angle nozzles.</t>
  </si>
  <si>
    <t>Marketing sheet.  1998 (also available on the web).</t>
  </si>
  <si>
    <t>ARC, 1-lbf mono</t>
  </si>
  <si>
    <t>MONARC-5</t>
  </si>
  <si>
    <t>ARC, 5-lbf mono</t>
  </si>
  <si>
    <t>MONARC-22</t>
  </si>
  <si>
    <t>ARC, 20-lbf mono</t>
  </si>
  <si>
    <t>MONARC-90</t>
  </si>
  <si>
    <t>Flight Qualified.
Straight, 45 &amp; 80 deg angle nozzles.</t>
  </si>
  <si>
    <t>ARC, 140-lbf mono</t>
  </si>
  <si>
    <t>MONARC-445</t>
  </si>
  <si>
    <t>Flight Qualified</t>
  </si>
  <si>
    <t>TRW, 0.1-lbf mono</t>
  </si>
  <si>
    <t>MRE-.1</t>
  </si>
  <si>
    <t>TRW Marketing Flyer (1999, taken at the AIAA JPC)</t>
  </si>
  <si>
    <t>TRW, 1-lbf mono</t>
  </si>
  <si>
    <t>MRE-1</t>
  </si>
  <si>
    <t>Used on Pioneer, HEAO, FLTSATCOM, TDRSS
Called the NASA Standard 5N Thruster</t>
  </si>
  <si>
    <t>PROPRIETARY (?):  TRW Report for NASA MSFC April 1978
TRW Marketing Flyer has lower P range, but other main parameters</t>
  </si>
  <si>
    <t>TRW, 4-lbf mono</t>
  </si>
  <si>
    <t>MRE-4</t>
  </si>
  <si>
    <t>TRW, 5-lbf mono</t>
  </si>
  <si>
    <t>MRE-5</t>
  </si>
  <si>
    <t>TRW, 15-lbf mono</t>
  </si>
  <si>
    <t>MRE-15</t>
  </si>
  <si>
    <t>ARC, LEROS 1B</t>
  </si>
  <si>
    <t>LEROS 1B</t>
  </si>
  <si>
    <t>CPIA search, May 2003 (ARC marketing sheet)
AIAA 95-2972</t>
  </si>
  <si>
    <t>ARC, LEROS 1C</t>
  </si>
  <si>
    <t>LEROS 1C</t>
  </si>
  <si>
    <t>CPIA search, May 2003 (ARC marketing sheet)</t>
  </si>
  <si>
    <t>ARC, LEROS 1D</t>
  </si>
  <si>
    <t>LEROS 1D</t>
  </si>
  <si>
    <t>In Development</t>
  </si>
  <si>
    <t>Aerojet, Dual Mode HiPAT</t>
  </si>
  <si>
    <t>HiPAT</t>
  </si>
  <si>
    <t>Aerojet marketing info (circa 2003)</t>
  </si>
  <si>
    <t>TRW AC-LAE, 105-lbf biprop</t>
  </si>
  <si>
    <t>AC-LAE</t>
  </si>
  <si>
    <t>AXAF</t>
  </si>
  <si>
    <t>AIAA 98-3671</t>
  </si>
  <si>
    <t>Aerojet, 2.2-lbf biprop</t>
  </si>
  <si>
    <t>R-53</t>
  </si>
  <si>
    <t>Development Completed</t>
  </si>
  <si>
    <t>Aerojet, 5.0-lbf biprop</t>
  </si>
  <si>
    <t>R-6D</t>
  </si>
  <si>
    <t>INSAT, ARABSAT, Milstar, Olympus, HS-393</t>
  </si>
  <si>
    <t>Milstar</t>
  </si>
  <si>
    <t>Qualified for the Milstar program</t>
  </si>
  <si>
    <t>PROPRIETARY:  Aerojet &amp; LMMS Milstar documentation &amp; test data</t>
  </si>
  <si>
    <t>Aerojet, 25-lbf biprop</t>
  </si>
  <si>
    <t>R-1E</t>
  </si>
  <si>
    <t>Aerojet, 110-lbf extended nozzle biprop</t>
  </si>
  <si>
    <t>R-4D</t>
  </si>
  <si>
    <t>Flight Qualified
Data is for the largest expansion nozzle</t>
  </si>
  <si>
    <t>Aerojet, 100-lbf thruster</t>
  </si>
  <si>
    <t>Qualified and flown</t>
  </si>
  <si>
    <t>Aerojet, 200-lbf biprop</t>
  </si>
  <si>
    <t>R-42</t>
  </si>
  <si>
    <t>Aerojet, 900-lbf biprop</t>
  </si>
  <si>
    <t>R-40B</t>
  </si>
  <si>
    <t>Flight Qualified. Shuttle Orbiter, Space Launch Dispenser</t>
  </si>
  <si>
    <t>ARC 90-lbf biprop</t>
  </si>
  <si>
    <t>LEROS 2B</t>
  </si>
  <si>
    <t>Noted to be "Qualified"</t>
  </si>
  <si>
    <t>CPIA search, May 2003</t>
  </si>
  <si>
    <t>ARC 5-lbf biprop</t>
  </si>
  <si>
    <t>ARC 5-lbf</t>
  </si>
  <si>
    <t>Baseline for HS601, HS702, &amp; HS-GEM satellites.
Burn-thru problem - limited throughput &amp; SS operation</t>
  </si>
  <si>
    <t>CPIA search, May 2003 (same data from Hughes Proprietary report)</t>
  </si>
  <si>
    <t>ARC Pt/Rh 5-lbf biprop</t>
  </si>
  <si>
    <t>LEROS 20a</t>
  </si>
  <si>
    <t>CPIA search (May 2003)
AIAA 98-3357</t>
  </si>
  <si>
    <t>ARC 2.5-lbf biprop</t>
  </si>
  <si>
    <t>LEROS 10</t>
  </si>
  <si>
    <t>Noted to be "In Qualification"</t>
  </si>
  <si>
    <t>CPIA search (May 2003)</t>
  </si>
  <si>
    <t>ARC 2-lbf biprop</t>
  </si>
  <si>
    <t>LEROS LTT</t>
  </si>
  <si>
    <t>Lots of development &amp; qual problems.</t>
  </si>
  <si>
    <t>Mono N2H4</t>
  </si>
  <si>
    <t>Bi N2H4/N2O4</t>
  </si>
  <si>
    <t>Bi MMH/N2O4</t>
  </si>
  <si>
    <t>XE HET</t>
  </si>
  <si>
    <t>Xe Ion Engine</t>
  </si>
  <si>
    <t>Xe HET</t>
  </si>
  <si>
    <t>Thruster Type</t>
  </si>
  <si>
    <t>BOL Pressure (psi-a)</t>
  </si>
  <si>
    <t>EOL Pressure (psi-a)</t>
  </si>
  <si>
    <t>Rocketdyne</t>
  </si>
  <si>
    <t>XLR-132</t>
  </si>
  <si>
    <t>Transtar</t>
  </si>
  <si>
    <t>Transtage</t>
  </si>
  <si>
    <t>Delta II</t>
  </si>
  <si>
    <t>Aerojet - Transtar</t>
  </si>
  <si>
    <t>Aerojet - Delta II</t>
  </si>
  <si>
    <t>OME/UR</t>
  </si>
  <si>
    <t>Marquardt - R-4D</t>
  </si>
  <si>
    <t>Aerojet - OME/UR</t>
  </si>
  <si>
    <t>Marquardt R4-D</t>
  </si>
  <si>
    <t>TRW- MMBPS</t>
  </si>
  <si>
    <t>Rocketdyne - RS-41</t>
  </si>
  <si>
    <t>ARC/LPG - HS 601 AKE</t>
  </si>
  <si>
    <t>TRW - HPLAM</t>
  </si>
  <si>
    <t>R4-D</t>
  </si>
  <si>
    <t>MMBPS</t>
  </si>
  <si>
    <t>RS-41</t>
  </si>
  <si>
    <t>HS 601 AKE</t>
  </si>
  <si>
    <t>HPLAM</t>
  </si>
  <si>
    <t>R-40A</t>
  </si>
  <si>
    <t>Marquardt R-40A</t>
  </si>
  <si>
    <t>In-Development</t>
  </si>
  <si>
    <t>SMAD 2004</t>
  </si>
  <si>
    <t>Flown</t>
  </si>
  <si>
    <t>Modified Orbiting Maneuver Engine</t>
  </si>
  <si>
    <t>Flight Qualified (Peacekeeper)</t>
  </si>
  <si>
    <t>Qualified (mod engineof Shuttle RCS engine)</t>
  </si>
  <si>
    <t>In advanced development)</t>
  </si>
  <si>
    <t>Bi N2H4/A50</t>
  </si>
  <si>
    <t>Aerojet, Transtage</t>
  </si>
  <si>
    <t>Bi LO2/LH2</t>
  </si>
  <si>
    <t>Pratt and Whitney, RL10-A</t>
  </si>
  <si>
    <t>TRW, ADLAE</t>
  </si>
  <si>
    <t>TRW, Chandra X-Ray</t>
  </si>
  <si>
    <t>Flight Qualified (Centaur)</t>
  </si>
  <si>
    <t>RL10-A</t>
  </si>
  <si>
    <t>ADLAE</t>
  </si>
  <si>
    <t>Chandra X-Ray</t>
  </si>
  <si>
    <t>Power for propulsion</t>
  </si>
  <si>
    <t>α</t>
  </si>
  <si>
    <t>ΔV</t>
  </si>
  <si>
    <r>
      <t>t</t>
    </r>
    <r>
      <rPr>
        <sz val="6"/>
        <rFont val="Arial"/>
        <family val="2"/>
      </rPr>
      <t>b</t>
    </r>
  </si>
  <si>
    <t>s</t>
  </si>
  <si>
    <t>sec</t>
  </si>
  <si>
    <t>m/s</t>
  </si>
  <si>
    <t>w</t>
  </si>
  <si>
    <t>Characteristic Velocity</t>
  </si>
  <si>
    <t>a</t>
  </si>
  <si>
    <t>Isp</t>
  </si>
  <si>
    <t>m</t>
  </si>
  <si>
    <t>Mp</t>
  </si>
  <si>
    <t>Mass of Propellant</t>
  </si>
  <si>
    <t>Gravitational Constant</t>
  </si>
  <si>
    <t>M</t>
  </si>
  <si>
    <t>Liquid Oxygen</t>
  </si>
  <si>
    <t>O2</t>
  </si>
  <si>
    <t>Liquid Fluorine</t>
  </si>
  <si>
    <t>F2</t>
  </si>
  <si>
    <t>Nitrogen Tetroxide</t>
  </si>
  <si>
    <t>N2O4</t>
  </si>
  <si>
    <t>Nitric Acid</t>
  </si>
  <si>
    <t>HNO3</t>
  </si>
  <si>
    <t>Hydrogen Peroxide</t>
  </si>
  <si>
    <t>H2O2</t>
  </si>
  <si>
    <t>Nitrous Oxide</t>
  </si>
  <si>
    <t>N2O</t>
  </si>
  <si>
    <t>Chlorine Pentafluoride</t>
  </si>
  <si>
    <t>ClF5</t>
  </si>
  <si>
    <t>Ammonium Perchlorate</t>
  </si>
  <si>
    <t>ClH4NO4</t>
  </si>
  <si>
    <t>N/A</t>
  </si>
  <si>
    <t>Liquid Hydrogen</t>
  </si>
  <si>
    <t>H2</t>
  </si>
  <si>
    <t>Liquid Methane</t>
  </si>
  <si>
    <t>CH4</t>
  </si>
  <si>
    <t>Ethyl Alcohol</t>
  </si>
  <si>
    <t>C2H5OH</t>
  </si>
  <si>
    <t>n-Dodecane (Kerosene)</t>
  </si>
  <si>
    <t>C12H26</t>
  </si>
  <si>
    <t>RP-1</t>
  </si>
  <si>
    <t>CnH1.953n</t>
  </si>
  <si>
    <t>N2H4</t>
  </si>
  <si>
    <t>Methyl Hydrazine</t>
  </si>
  <si>
    <t>CH3NHNH2</t>
  </si>
  <si>
    <t>Dimethyl Hydrazine</t>
  </si>
  <si>
    <t>(CH3)2NNH2</t>
  </si>
  <si>
    <t>Aluminum</t>
  </si>
  <si>
    <t>Al</t>
  </si>
  <si>
    <t>Polybutadiene</t>
  </si>
  <si>
    <t>(C4H6)n</t>
  </si>
  <si>
    <t>Fuel</t>
  </si>
  <si>
    <t>Chemical Formula</t>
  </si>
  <si>
    <t>Molecular Weight</t>
  </si>
  <si>
    <t>Density (g/ml)</t>
  </si>
  <si>
    <t>177-274</t>
  </si>
  <si>
    <t>Melting Point (ºC)</t>
  </si>
  <si>
    <t>Boiling Point (ºC)</t>
  </si>
  <si>
    <t>Custom</t>
  </si>
  <si>
    <t>Liquid Nitrogen</t>
  </si>
  <si>
    <t>N2</t>
  </si>
  <si>
    <t>Ion Engine</t>
  </si>
  <si>
    <t>L3</t>
  </si>
  <si>
    <t>XIPS 25 cm</t>
  </si>
  <si>
    <t>Isp of Thruster</t>
  </si>
  <si>
    <t>Mass of Power System</t>
  </si>
  <si>
    <t>Mw</t>
  </si>
  <si>
    <t>Effective Exhaust Velocity</t>
  </si>
  <si>
    <t>Calculated value</t>
  </si>
  <si>
    <t>Chemical Propulsion</t>
  </si>
  <si>
    <t>Material</t>
  </si>
  <si>
    <t>Density (kg/m^3)</t>
  </si>
  <si>
    <t>Thermal Expansion (um/m K^-1)</t>
  </si>
  <si>
    <t>Fracture Toughness (MPa m)</t>
  </si>
  <si>
    <t>Fatigue Strength (MPa)</t>
  </si>
  <si>
    <t>Good Corrosion Resistance</t>
  </si>
  <si>
    <t>Prone to SSC in T6 Form</t>
  </si>
  <si>
    <t>Magnesium A2 31B</t>
  </si>
  <si>
    <t>Prone to SCC</t>
  </si>
  <si>
    <t>Magnesium ZK 60 A.T5</t>
  </si>
  <si>
    <t>Titanium T1-6A1-4V</t>
  </si>
  <si>
    <t>Beryllium S 65 A</t>
  </si>
  <si>
    <t>Beryllium SR 200 E</t>
  </si>
  <si>
    <t>Stainless Steel AM 350 (SCT850)</t>
  </si>
  <si>
    <t>40/60</t>
  </si>
  <si>
    <t>Ferromagnetic</t>
  </si>
  <si>
    <t>Stainless Steel 304L Ann</t>
  </si>
  <si>
    <t>Austenitic</t>
  </si>
  <si>
    <t>Kevlar 49 0°</t>
  </si>
  <si>
    <t>Structure Members</t>
  </si>
  <si>
    <t>Kevlar (Aramid Fibre) 90°</t>
  </si>
  <si>
    <t>Pressure Vessels</t>
  </si>
  <si>
    <t>Graphite Epoxy Sheets</t>
  </si>
  <si>
    <t>-11.7/29.7</t>
  </si>
  <si>
    <t>Sheet</t>
  </si>
  <si>
    <t>Databases</t>
  </si>
  <si>
    <t>User Defined</t>
  </si>
  <si>
    <t>Density</t>
  </si>
  <si>
    <t>mm</t>
  </si>
  <si>
    <t>Index</t>
  </si>
  <si>
    <r>
      <t>kg/m</t>
    </r>
    <r>
      <rPr>
        <vertAlign val="superscript"/>
        <sz val="10"/>
        <rFont val="Arial"/>
        <family val="2"/>
      </rPr>
      <t>3</t>
    </r>
  </si>
  <si>
    <r>
      <t>I</t>
    </r>
    <r>
      <rPr>
        <vertAlign val="subscript"/>
        <sz val="10"/>
        <rFont val="Arial"/>
        <family val="2"/>
      </rPr>
      <t>sp</t>
    </r>
  </si>
  <si>
    <r>
      <t>ρ</t>
    </r>
    <r>
      <rPr>
        <vertAlign val="subscript"/>
        <sz val="10"/>
        <rFont val="Arial"/>
        <family val="2"/>
      </rPr>
      <t>f</t>
    </r>
  </si>
  <si>
    <r>
      <t>ρ</t>
    </r>
    <r>
      <rPr>
        <vertAlign val="subscript"/>
        <sz val="10"/>
        <rFont val="Arial"/>
        <family val="2"/>
      </rPr>
      <t>t</t>
    </r>
  </si>
  <si>
    <r>
      <t>m</t>
    </r>
    <r>
      <rPr>
        <vertAlign val="superscript"/>
        <sz val="10"/>
        <rFont val="Arial"/>
        <family val="2"/>
      </rPr>
      <t>3</t>
    </r>
  </si>
  <si>
    <t>Spherical Tank Mass</t>
  </si>
  <si>
    <r>
      <t>Density (lb/in</t>
    </r>
    <r>
      <rPr>
        <b/>
        <vertAlign val="superscript"/>
        <sz val="10"/>
        <color indexed="9"/>
        <rFont val="Arial"/>
        <family val="2"/>
      </rPr>
      <t>3</t>
    </r>
    <r>
      <rPr>
        <b/>
        <sz val="10"/>
        <color indexed="9"/>
        <rFont val="Arial"/>
        <family val="2"/>
      </rPr>
      <t>)</t>
    </r>
  </si>
  <si>
    <r>
      <t>Density (kg/m</t>
    </r>
    <r>
      <rPr>
        <b/>
        <vertAlign val="superscript"/>
        <sz val="10"/>
        <color indexed="9"/>
        <rFont val="Arial"/>
        <family val="2"/>
      </rPr>
      <t>3</t>
    </r>
    <r>
      <rPr>
        <b/>
        <sz val="10"/>
        <color indexed="9"/>
        <rFont val="Arial"/>
        <family val="2"/>
      </rPr>
      <t>)</t>
    </r>
  </si>
  <si>
    <t>Titanium Alloys</t>
  </si>
  <si>
    <t>Filament-Wound</t>
  </si>
  <si>
    <t>Max Temp (Deg F)</t>
  </si>
  <si>
    <t>no</t>
  </si>
  <si>
    <t>yes</t>
  </si>
  <si>
    <t>Yield Strength</t>
  </si>
  <si>
    <t>Yield Strength (PSI)</t>
  </si>
  <si>
    <t>2000 and 6000 series alloys</t>
  </si>
  <si>
    <t>ASI 300 series,  A286, 17-7 PH, PH 15-7 MO, Inconel 718</t>
  </si>
  <si>
    <t>6AL-4V</t>
  </si>
  <si>
    <t>Graphite/Resin</t>
  </si>
  <si>
    <t>Steel alloys</t>
  </si>
  <si>
    <t>Tank Material Database Extended</t>
  </si>
  <si>
    <t>Yield Strength (MPa)</t>
  </si>
  <si>
    <t>Young's Modulus (GPa)</t>
  </si>
  <si>
    <t>Propulsion System Mass Fraction</t>
  </si>
  <si>
    <t>unitless</t>
  </si>
  <si>
    <r>
      <t>M</t>
    </r>
    <r>
      <rPr>
        <vertAlign val="subscript"/>
        <sz val="10"/>
        <rFont val="Arial"/>
        <family val="2"/>
      </rPr>
      <t>o</t>
    </r>
  </si>
  <si>
    <t>Payload and spacecraft systems mass</t>
  </si>
  <si>
    <t>Propulsion system mass fraction</t>
  </si>
  <si>
    <r>
      <rPr>
        <sz val="10"/>
        <rFont val="Arial"/>
        <family val="2"/>
      </rPr>
      <t>V</t>
    </r>
    <r>
      <rPr>
        <vertAlign val="subscript"/>
        <sz val="10"/>
        <rFont val="Arial"/>
        <family val="2"/>
      </rPr>
      <t>e</t>
    </r>
  </si>
  <si>
    <t>Dry mass of propulsion system</t>
  </si>
  <si>
    <t>Wet mass of propulsion system</t>
  </si>
  <si>
    <t>Wet Mass of spacecraft</t>
  </si>
  <si>
    <t>Dry mass of spacecraft</t>
  </si>
  <si>
    <r>
      <t>M</t>
    </r>
    <r>
      <rPr>
        <vertAlign val="subscript"/>
        <sz val="10"/>
        <rFont val="Arial"/>
        <family val="2"/>
      </rPr>
      <t>p</t>
    </r>
  </si>
  <si>
    <r>
      <t>M</t>
    </r>
    <r>
      <rPr>
        <vertAlign val="subscript"/>
        <sz val="10"/>
        <rFont val="Arial"/>
        <family val="2"/>
      </rPr>
      <t>e</t>
    </r>
  </si>
  <si>
    <r>
      <t>M</t>
    </r>
    <r>
      <rPr>
        <vertAlign val="subscript"/>
        <sz val="10"/>
        <rFont val="Arial"/>
        <family val="2"/>
      </rPr>
      <t>f</t>
    </r>
  </si>
  <si>
    <r>
      <t>M</t>
    </r>
    <r>
      <rPr>
        <vertAlign val="subscript"/>
        <sz val="10"/>
        <rFont val="Arial"/>
        <family val="2"/>
      </rPr>
      <t>i</t>
    </r>
  </si>
  <si>
    <t>Thrust range</t>
  </si>
  <si>
    <t>T</t>
  </si>
  <si>
    <t>N</t>
  </si>
  <si>
    <t>Thrust Range (N)</t>
  </si>
  <si>
    <t xml:space="preserve">0.5 to 450 </t>
  </si>
  <si>
    <t>0 to 260</t>
  </si>
  <si>
    <t>1000 to 2.3e6</t>
  </si>
  <si>
    <t>1 to 0.5e6</t>
  </si>
  <si>
    <t>see http://www.astronautix.com/props/index.htm</t>
  </si>
  <si>
    <t>Volume of Propellant</t>
  </si>
  <si>
    <r>
      <t>V</t>
    </r>
    <r>
      <rPr>
        <vertAlign val="subscript"/>
        <sz val="10"/>
        <rFont val="Arial"/>
        <family val="2"/>
      </rPr>
      <t>p</t>
    </r>
  </si>
  <si>
    <t>Simple Liquid Propulsion Database</t>
  </si>
  <si>
    <t>Type of thruster and propulsion system</t>
  </si>
  <si>
    <t>Thruster type</t>
  </si>
  <si>
    <t>Density of fuel</t>
  </si>
  <si>
    <t>Effective exhaust velocity</t>
  </si>
  <si>
    <t>Propulsion System Mass Estimate</t>
  </si>
  <si>
    <t xml:space="preserve">  Usable</t>
  </si>
  <si>
    <t>Pressurant</t>
  </si>
  <si>
    <t>Feed System</t>
  </si>
  <si>
    <t xml:space="preserve">  Tanks</t>
  </si>
  <si>
    <t>Wet Mass</t>
  </si>
  <si>
    <t>Burn-out Mass</t>
  </si>
  <si>
    <t>Dry Mass</t>
  </si>
  <si>
    <t>Components</t>
  </si>
  <si>
    <t>Number</t>
  </si>
  <si>
    <r>
      <t>m/s</t>
    </r>
    <r>
      <rPr>
        <vertAlign val="superscript"/>
        <sz val="10"/>
        <rFont val="Arial"/>
        <family val="2"/>
      </rPr>
      <t>2</t>
    </r>
  </si>
  <si>
    <t>Volume of propellant</t>
  </si>
  <si>
    <t>MPa</t>
  </si>
  <si>
    <t>BOL Pressure (MPa)</t>
  </si>
  <si>
    <t>Typical tank pressure</t>
  </si>
  <si>
    <t>ISP of thruster</t>
  </si>
  <si>
    <t>Tank wall thickness</t>
  </si>
  <si>
    <t>t</t>
  </si>
  <si>
    <t>r</t>
  </si>
  <si>
    <r>
      <t>V</t>
    </r>
    <r>
      <rPr>
        <vertAlign val="subscript"/>
        <sz val="10"/>
        <rFont val="Arial"/>
        <family val="2"/>
      </rPr>
      <t>t</t>
    </r>
  </si>
  <si>
    <t>P</t>
  </si>
  <si>
    <t>Spherical Propellant Tank Design</t>
  </si>
  <si>
    <r>
      <t>M</t>
    </r>
    <r>
      <rPr>
        <vertAlign val="subscript"/>
        <sz val="10"/>
        <rFont val="Arial"/>
        <family val="2"/>
      </rPr>
      <t>t</t>
    </r>
  </si>
  <si>
    <t>Propellant</t>
  </si>
  <si>
    <t>Thrusters and valves</t>
  </si>
  <si>
    <t>Total mass for all tanks</t>
  </si>
  <si>
    <t>Mass fraction of tank</t>
  </si>
  <si>
    <t>Propellant tank material</t>
  </si>
  <si>
    <t>Number of propellant Tanks</t>
  </si>
  <si>
    <t>Factor of safety for design</t>
  </si>
  <si>
    <t>Propellant tank volume</t>
  </si>
  <si>
    <t>Propellant tank radius</t>
  </si>
  <si>
    <t>Mass (kg)</t>
  </si>
  <si>
    <t xml:space="preserve">  Unusable (3%)</t>
  </si>
  <si>
    <t xml:space="preserve">  Diaphragms (5%)</t>
  </si>
  <si>
    <t xml:space="preserve">  Valves (1%)</t>
  </si>
  <si>
    <t xml:space="preserve">  Filters (1%)</t>
  </si>
  <si>
    <t xml:space="preserve">  Lines and Fittings (10%)</t>
  </si>
  <si>
    <t xml:space="preserve">  Temperature Transducers (1%)</t>
  </si>
  <si>
    <t xml:space="preserve">  Pressure Transducers (1%)</t>
  </si>
  <si>
    <t xml:space="preserve">  Heaters (1%)</t>
  </si>
  <si>
    <t>Unitless</t>
  </si>
  <si>
    <t>Operating Time</t>
  </si>
  <si>
    <t>Charles Swenson</t>
  </si>
  <si>
    <t>First outline of spreadsheet</t>
  </si>
  <si>
    <t>Andrew Moss</t>
  </si>
  <si>
    <t>Near complete rewrite. Key idea was to put the calculation in terms of the propulsion system mass fraction. Added tank sizing and mass table for sub-system. Did not get electric propulsion squared away</t>
  </si>
  <si>
    <t>Headings</t>
  </si>
  <si>
    <t>Sub Headings</t>
  </si>
  <si>
    <t>Required propellant tank pressure</t>
  </si>
  <si>
    <t>g0</t>
  </si>
  <si>
    <t>kg/W</t>
  </si>
  <si>
    <t>Jason Schmidt found the error kg/kW to kg/W, and thus 20 goes to .02.  in the electric propulsion module</t>
  </si>
  <si>
    <t>Chemical Thruster Database</t>
  </si>
  <si>
    <t>Spiral Orbit</t>
  </si>
  <si>
    <t>km</t>
  </si>
  <si>
    <t>Earth gravitational constant</t>
  </si>
  <si>
    <t>days</t>
  </si>
  <si>
    <t>Acceleration</t>
  </si>
  <si>
    <t>Acceleration of Spacecraft</t>
  </si>
  <si>
    <t>Power to mass ratio of power plant</t>
  </si>
  <si>
    <t>Total Wet Mass of Spacecraft</t>
  </si>
  <si>
    <t>Propellant Density (kg/m^3)</t>
  </si>
  <si>
    <t>Cold Gas</t>
  </si>
  <si>
    <t>Tank Material Database</t>
  </si>
  <si>
    <t>Cryogenic</t>
  </si>
  <si>
    <t>Aluminum alloys</t>
  </si>
  <si>
    <t>Total Impulse     (N-s)</t>
  </si>
  <si>
    <t>In-Qualification</t>
  </si>
  <si>
    <t>Development completed</t>
  </si>
  <si>
    <t>Propellant Database</t>
  </si>
  <si>
    <t>Electric Thruster Database</t>
  </si>
  <si>
    <t>Aluminum 6061.T6</t>
  </si>
  <si>
    <t>Aluminum 7075.T6</t>
  </si>
  <si>
    <t>Difference in Operating Times</t>
  </si>
  <si>
    <t>Earth radius</t>
  </si>
  <si>
    <r>
      <t>R</t>
    </r>
    <r>
      <rPr>
        <vertAlign val="subscript"/>
        <sz val="10"/>
        <rFont val="Arial"/>
        <family val="2"/>
      </rPr>
      <t>E</t>
    </r>
  </si>
  <si>
    <r>
      <t>h</t>
    </r>
    <r>
      <rPr>
        <vertAlign val="subscript"/>
        <sz val="10"/>
        <rFont val="Arial"/>
        <family val="2"/>
      </rPr>
      <t>a</t>
    </r>
  </si>
  <si>
    <r>
      <t>r</t>
    </r>
    <r>
      <rPr>
        <vertAlign val="subscript"/>
        <sz val="10"/>
        <rFont val="Arial"/>
        <family val="2"/>
      </rPr>
      <t>a</t>
    </r>
  </si>
  <si>
    <t>km/s</t>
  </si>
  <si>
    <r>
      <t>V</t>
    </r>
    <r>
      <rPr>
        <vertAlign val="subscript"/>
        <sz val="10"/>
        <rFont val="Arial"/>
        <family val="2"/>
      </rPr>
      <t>a</t>
    </r>
  </si>
  <si>
    <r>
      <t>km</t>
    </r>
    <r>
      <rPr>
        <vertAlign val="superscript"/>
        <sz val="10"/>
        <rFont val="Arial"/>
        <family val="2"/>
      </rPr>
      <t>3</t>
    </r>
    <r>
      <rPr>
        <sz val="10"/>
        <rFont val="Arial"/>
        <family val="2"/>
      </rPr>
      <t>/s</t>
    </r>
    <r>
      <rPr>
        <vertAlign val="superscript"/>
        <sz val="10"/>
        <rFont val="Arial"/>
        <family val="2"/>
      </rPr>
      <t>2</t>
    </r>
  </si>
  <si>
    <t>Circular low-orbit altitude</t>
  </si>
  <si>
    <t>Circular High-orbit altitude</t>
  </si>
  <si>
    <r>
      <t>h</t>
    </r>
    <r>
      <rPr>
        <vertAlign val="subscript"/>
        <sz val="10"/>
        <rFont val="Arial"/>
        <family val="2"/>
      </rPr>
      <t>b</t>
    </r>
  </si>
  <si>
    <t>Radius of low-orbit</t>
  </si>
  <si>
    <t>Radius of high orbit</t>
  </si>
  <si>
    <r>
      <t>r</t>
    </r>
    <r>
      <rPr>
        <vertAlign val="subscript"/>
        <sz val="10"/>
        <rFont val="Arial"/>
        <family val="2"/>
      </rPr>
      <t>b</t>
    </r>
  </si>
  <si>
    <r>
      <t>V</t>
    </r>
    <r>
      <rPr>
        <vertAlign val="subscript"/>
        <sz val="10"/>
        <rFont val="Arial"/>
        <family val="2"/>
      </rPr>
      <t>b</t>
    </r>
  </si>
  <si>
    <t>Velocity at low-orbit</t>
  </si>
  <si>
    <t>Velocity at high-orbit</t>
  </si>
  <si>
    <t>Delta V of orbit transfer</t>
  </si>
  <si>
    <t>Compare the electric propulsion to the actual NASA Dawn Spacecraft using this spreadsheet</t>
  </si>
  <si>
    <t>Thruster Mass (not used, for information)</t>
  </si>
  <si>
    <t>PPU Mass (not used, for information)</t>
  </si>
  <si>
    <t>Engine Efficiency (not used, for information)</t>
  </si>
  <si>
    <t>Nominal Thrust of Thruster (not used, for information)</t>
  </si>
  <si>
    <t>Isp of Thruster (not used for information)</t>
  </si>
  <si>
    <t>Average thrust of system</t>
  </si>
  <si>
    <t>Electric Propulsion ISP variation</t>
  </si>
  <si>
    <t>Power</t>
  </si>
  <si>
    <t>I16</t>
  </si>
  <si>
    <t>I25</t>
  </si>
  <si>
    <t>I26</t>
  </si>
  <si>
    <t>I27</t>
  </si>
  <si>
    <t>I30</t>
  </si>
  <si>
    <r>
      <t>V</t>
    </r>
    <r>
      <rPr>
        <vertAlign val="subscript"/>
        <sz val="10"/>
        <rFont val="Arial"/>
        <family val="2"/>
      </rPr>
      <t>c</t>
    </r>
  </si>
  <si>
    <r>
      <t>V</t>
    </r>
    <r>
      <rPr>
        <vertAlign val="subscript"/>
        <sz val="10"/>
        <rFont val="Arial"/>
        <family val="2"/>
      </rPr>
      <t>e</t>
    </r>
  </si>
  <si>
    <r>
      <t>M</t>
    </r>
    <r>
      <rPr>
        <vertAlign val="subscript"/>
        <sz val="10"/>
        <rFont val="Arial"/>
        <family val="2"/>
      </rPr>
      <t>w</t>
    </r>
  </si>
  <si>
    <t>Total M</t>
  </si>
  <si>
    <t>Electric Propulsion Operating Time Variation</t>
  </si>
  <si>
    <t>Tb</t>
  </si>
  <si>
    <t>NEO Scout Propulsion Sizing</t>
  </si>
  <si>
    <t>I13</t>
  </si>
  <si>
    <t xml:space="preserve">Electric Propulsion Operating Time Power Total Mass Constraint </t>
  </si>
  <si>
    <t>I12</t>
  </si>
  <si>
    <t>M Payload</t>
  </si>
  <si>
    <t>M Prop</t>
  </si>
  <si>
    <t>M Power</t>
  </si>
  <si>
    <t>Thrust</t>
  </si>
  <si>
    <t>I28</t>
  </si>
  <si>
    <t>Completed as a special project for class for Honors, Circular reference approach with manual recalculations</t>
  </si>
  <si>
    <t>Fixed minor error with factor of safety calculations and then copied to the propulsion example that was wrong</t>
  </si>
  <si>
    <t>Added Spiral orbit and cells to compute acceleration required for a spiral burn trajectory. Used engine efficiently and added mass of thruster and PPU unit to totals. Added a recorded macro using goal seek to adjust the spiral orbit and Electric propulsion times.</t>
  </si>
  <si>
    <t>Worked on Electric Propulsion Till the spreadsheet made more sense to me and worked. Found error in computation of propellant mass. Added table and macro to electric propulsion. Added problems in the write-and an answer sheet.</t>
  </si>
  <si>
    <t>Set up for the NEO Scout mission. Changed burn time to be input in days for the electric propulsion module</t>
  </si>
  <si>
    <t>Find information on propulsion system mass fraction from representative spacecraft and add as a table.</t>
  </si>
  <si>
    <t>Add a section on launch vehicle staging calculations</t>
  </si>
  <si>
    <t>Develop separate section for cold gas thruster sizing</t>
  </si>
  <si>
    <t>Mass Flow Rate</t>
  </si>
  <si>
    <t>kg/s</t>
  </si>
  <si>
    <t>Trade Study 1 (LEO to GEO transfer)</t>
  </si>
  <si>
    <t>Report on</t>
  </si>
  <si>
    <t>a1.      The type of chemical thrusters chosen,</t>
  </si>
  <si>
    <t>a2.      The number of chemical thrusters chosen,</t>
  </si>
  <si>
    <t>a3       The type of electric thrusters chosen,</t>
  </si>
  <si>
    <t>a4.      The number of electric thrusters chosen,</t>
  </si>
  <si>
    <t>b1.       Mass of the chemical propellent,</t>
  </si>
  <si>
    <t>b2.       Mass of the electric thrustor propellant,</t>
  </si>
  <si>
    <t>c1.       Total wet mass of the chemical system</t>
  </si>
  <si>
    <t>c1.       Total wet mass of the electric propulsive system</t>
  </si>
  <si>
    <t>d1.       Time for the holman transfer chemical system</t>
  </si>
  <si>
    <t>d2.       Time for the spiral transfer electric system</t>
  </si>
  <si>
    <t>e.       Comments on Trade Study</t>
  </si>
  <si>
    <t>Trade Study 2 (GEO to Interplanatary)</t>
  </si>
  <si>
    <t xml:space="preserve">a.     What burn times result for different ISP’s of the electric propulsion system </t>
  </si>
  <si>
    <t>Add a graph</t>
  </si>
  <si>
    <t>b.      Does this seem like a feasible mission?</t>
  </si>
  <si>
    <t>Do a Copy and Past Special as an image from the source worksheet to this answer worksheet</t>
  </si>
  <si>
    <t>C.     Should this mission be studied in ECE 5240?</t>
  </si>
  <si>
    <t>The electric thruster has significantly less mass than the chemical propulsion system.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</si>
</sst>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3" formatCode="_(* #,##0.00_);_(* \(#,##0.00\);_(* &quot;-&quot;??_);_(@_)"/>
    <numFmt numFmtId="164" formatCode="0.0%"/>
    <numFmt numFmtId="165" formatCode="0.0"/>
    <numFmt numFmtId="166" formatCode="0.000"/>
    <numFmt numFmtId="167" formatCode="0.0000"/>
    <numFmt numFmtId="168" formatCode="0.00000"/>
    <numFmt numFmtId="169" formatCode="mm/dd/yy"/>
    <numFmt numFmtId="170" formatCode="0.000000"/>
  </numFmts>
  <fonts count="27" x14ac:knownFonts="1">
    <font>
      <sz val="10"/>
      <name val="Arial"/>
      <family val="2"/>
    </font>
    <font>
      <sz val="10"/>
      <name val="Arial"/>
      <family val="2"/>
    </font>
    <font>
      <sz val="10"/>
      <name val="Arial"/>
      <family val="2"/>
    </font>
    <font>
      <sz val="8"/>
      <color indexed="81"/>
      <name val="Tahoma"/>
      <family val="2"/>
    </font>
    <font>
      <sz val="8"/>
      <name val="Arial"/>
      <family val="2"/>
    </font>
    <font>
      <b/>
      <sz val="8"/>
      <color indexed="81"/>
      <name val="Tahoma"/>
      <family val="2"/>
    </font>
    <font>
      <b/>
      <sz val="10"/>
      <name val="Arial"/>
      <family val="2"/>
    </font>
    <font>
      <sz val="8"/>
      <name val="Arial"/>
      <family val="2"/>
    </font>
    <font>
      <b/>
      <i/>
      <sz val="20"/>
      <name val="Arial"/>
      <family val="2"/>
    </font>
    <font>
      <b/>
      <sz val="10"/>
      <color indexed="9"/>
      <name val="Arial"/>
      <family val="2"/>
    </font>
    <font>
      <sz val="10"/>
      <name val="Symbol"/>
      <family val="1"/>
    </font>
    <font>
      <b/>
      <i/>
      <sz val="16"/>
      <name val="Arial"/>
      <family val="2"/>
    </font>
    <font>
      <sz val="6"/>
      <name val="Arial"/>
      <family val="2"/>
    </font>
    <font>
      <b/>
      <sz val="8"/>
      <name val="Arial"/>
      <family val="2"/>
    </font>
    <font>
      <vertAlign val="superscript"/>
      <sz val="10"/>
      <name val="Arial"/>
      <family val="2"/>
    </font>
    <font>
      <vertAlign val="subscript"/>
      <sz val="10"/>
      <name val="Arial"/>
      <family val="2"/>
    </font>
    <font>
      <b/>
      <vertAlign val="superscript"/>
      <sz val="10"/>
      <color indexed="9"/>
      <name val="Arial"/>
      <family val="2"/>
    </font>
    <font>
      <sz val="10"/>
      <name val="Arial"/>
      <family val="2"/>
    </font>
    <font>
      <sz val="10"/>
      <name val="Arial"/>
      <family val="2"/>
    </font>
    <font>
      <sz val="10"/>
      <color indexed="8"/>
      <name val="Arial"/>
      <family val="2"/>
    </font>
    <font>
      <sz val="9"/>
      <color indexed="81"/>
      <name val="Tahoma"/>
      <family val="2"/>
    </font>
    <font>
      <b/>
      <sz val="9"/>
      <color indexed="81"/>
      <name val="Tahoma"/>
      <family val="2"/>
    </font>
    <font>
      <u/>
      <sz val="10"/>
      <color theme="11"/>
      <name val="Arial"/>
      <family val="2"/>
    </font>
    <font>
      <u/>
      <sz val="10"/>
      <color theme="10"/>
      <name val="Arial"/>
      <family val="2"/>
    </font>
    <font>
      <b/>
      <sz val="11"/>
      <color theme="1"/>
      <name val="Calibri"/>
      <family val="2"/>
      <scheme val="minor"/>
    </font>
    <font>
      <sz val="10"/>
      <color rgb="FF000000"/>
      <name val="Arial"/>
      <family val="2"/>
    </font>
    <font>
      <b/>
      <i/>
      <sz val="14"/>
      <name val="Arial"/>
      <family val="2"/>
    </font>
  </fonts>
  <fills count="11">
    <fill>
      <patternFill patternType="none"/>
    </fill>
    <fill>
      <patternFill patternType="gray125"/>
    </fill>
    <fill>
      <patternFill patternType="solid">
        <fgColor indexed="47"/>
        <bgColor indexed="64"/>
      </patternFill>
    </fill>
    <fill>
      <patternFill patternType="solid">
        <fgColor indexed="21"/>
        <bgColor indexed="64"/>
      </patternFill>
    </fill>
    <fill>
      <patternFill patternType="solid">
        <fgColor indexed="41"/>
        <bgColor indexed="64"/>
      </patternFill>
    </fill>
    <fill>
      <patternFill patternType="solid">
        <fgColor indexed="43"/>
        <bgColor indexed="64"/>
      </patternFill>
    </fill>
    <fill>
      <patternFill patternType="solid">
        <fgColor indexed="22"/>
        <bgColor indexed="64"/>
      </patternFill>
    </fill>
    <fill>
      <patternFill patternType="solid">
        <fgColor theme="4" tint="0.39997558519241921"/>
        <bgColor indexed="64"/>
      </patternFill>
    </fill>
    <fill>
      <patternFill patternType="solid">
        <fgColor rgb="FFFFFF99"/>
        <bgColor indexed="64"/>
      </patternFill>
    </fill>
    <fill>
      <patternFill patternType="solid">
        <fgColor theme="9" tint="0.39997558519241921"/>
        <bgColor indexed="64"/>
      </patternFill>
    </fill>
    <fill>
      <patternFill patternType="solid">
        <fgColor rgb="FF95B3D7"/>
        <bgColor indexed="64"/>
      </patternFill>
    </fill>
  </fills>
  <borders count="42">
    <border>
      <left/>
      <right/>
      <top/>
      <bottom/>
      <diagonal/>
    </border>
    <border>
      <left/>
      <right/>
      <top style="hair">
        <color indexed="64"/>
      </top>
      <bottom style="hair">
        <color indexed="64"/>
      </bottom>
      <diagonal/>
    </border>
    <border>
      <left/>
      <right/>
      <top style="medium">
        <color indexed="64"/>
      </top>
      <bottom style="thin">
        <color indexed="64"/>
      </bottom>
      <diagonal/>
    </border>
    <border>
      <left/>
      <right style="medium">
        <color indexed="64"/>
      </right>
      <top style="hair">
        <color indexed="64"/>
      </top>
      <bottom style="hair">
        <color indexed="64"/>
      </bottom>
      <diagonal/>
    </border>
    <border>
      <left style="medium">
        <color indexed="64"/>
      </left>
      <right/>
      <top style="hair">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hair">
        <color indexed="64"/>
      </bottom>
      <diagonal/>
    </border>
    <border>
      <left/>
      <right/>
      <top/>
      <bottom style="hair">
        <color indexed="64"/>
      </bottom>
      <diagonal/>
    </border>
    <border>
      <left/>
      <right style="medium">
        <color indexed="64"/>
      </right>
      <top/>
      <bottom style="hair">
        <color indexed="64"/>
      </bottom>
      <diagonal/>
    </border>
    <border>
      <left style="medium">
        <color indexed="64"/>
      </left>
      <right/>
      <top style="hair">
        <color indexed="64"/>
      </top>
      <bottom style="hair">
        <color indexed="64"/>
      </bottom>
      <diagonal/>
    </border>
    <border>
      <left/>
      <right/>
      <top style="hair">
        <color indexed="64"/>
      </top>
      <bottom/>
      <diagonal/>
    </border>
    <border>
      <left/>
      <right style="medium">
        <color indexed="64"/>
      </right>
      <top style="hair">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top style="thin">
        <color indexed="64"/>
      </top>
      <bottom style="hair">
        <color indexed="64"/>
      </bottom>
      <diagonal/>
    </border>
    <border>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style="medium">
        <color indexed="64"/>
      </right>
      <top style="thin">
        <color indexed="64"/>
      </top>
      <bottom/>
      <diagonal/>
    </border>
    <border>
      <left/>
      <right/>
      <top style="thin">
        <color theme="4"/>
      </top>
      <bottom style="double">
        <color theme="4"/>
      </bottom>
      <diagonal/>
    </border>
  </borders>
  <cellStyleXfs count="13">
    <xf numFmtId="0" fontId="0" fillId="0" borderId="0"/>
    <xf numFmtId="166" fontId="19" fillId="2" borderId="1"/>
    <xf numFmtId="11" fontId="18" fillId="7" borderId="1"/>
    <xf numFmtId="0" fontId="22" fillId="0" borderId="0" applyNumberFormat="0" applyFill="0" applyBorder="0" applyAlignment="0" applyProtection="0"/>
    <xf numFmtId="0" fontId="9" fillId="3" borderId="2">
      <alignment horizontal="center"/>
    </xf>
    <xf numFmtId="0" fontId="23" fillId="0" borderId="0" applyNumberFormat="0" applyFill="0" applyBorder="0" applyAlignment="0" applyProtection="0"/>
    <xf numFmtId="9" fontId="1" fillId="0" borderId="0" applyFont="0" applyFill="0" applyBorder="0" applyAlignment="0" applyProtection="0"/>
    <xf numFmtId="0" fontId="18" fillId="4" borderId="1"/>
    <xf numFmtId="0" fontId="24" fillId="0" borderId="41" applyNumberFormat="0" applyFill="0" applyAlignment="0" applyProtection="0"/>
    <xf numFmtId="0" fontId="18" fillId="5" borderId="1"/>
    <xf numFmtId="43" fontId="18" fillId="0" borderId="0" applyFont="0" applyFill="0" applyBorder="0" applyAlignment="0" applyProtection="0"/>
    <xf numFmtId="0" fontId="1" fillId="4" borderId="1"/>
    <xf numFmtId="0" fontId="1" fillId="5" borderId="1"/>
  </cellStyleXfs>
  <cellXfs count="250">
    <xf numFmtId="0" fontId="0" fillId="0" borderId="0" xfId="0"/>
    <xf numFmtId="0" fontId="0" fillId="4" borderId="3" xfId="0" applyFont="1" applyFill="1" applyBorder="1"/>
    <xf numFmtId="0" fontId="0" fillId="4" borderId="4" xfId="0" applyFont="1" applyFill="1" applyBorder="1"/>
    <xf numFmtId="0" fontId="0" fillId="0" borderId="0" xfId="0" applyAlignment="1">
      <alignment horizontal="center"/>
    </xf>
    <xf numFmtId="0" fontId="8" fillId="0" borderId="0" xfId="0" applyFont="1"/>
    <xf numFmtId="0" fontId="6" fillId="6" borderId="5" xfId="0" applyFont="1" applyFill="1" applyBorder="1" applyAlignment="1">
      <alignment horizontal="left"/>
    </xf>
    <xf numFmtId="0" fontId="6" fillId="6" borderId="6" xfId="0" applyFont="1" applyFill="1" applyBorder="1" applyAlignment="1">
      <alignment horizontal="left"/>
    </xf>
    <xf numFmtId="0" fontId="6" fillId="6" borderId="7" xfId="0" applyFont="1" applyFill="1" applyBorder="1" applyAlignment="1">
      <alignment horizontal="left"/>
    </xf>
    <xf numFmtId="165" fontId="0" fillId="0" borderId="5" xfId="0" applyNumberFormat="1" applyBorder="1" applyAlignment="1">
      <alignment horizontal="center" vertical="top"/>
    </xf>
    <xf numFmtId="169" fontId="0" fillId="0" borderId="6" xfId="0" applyNumberFormat="1" applyBorder="1" applyAlignment="1">
      <alignment horizontal="center" vertical="top"/>
    </xf>
    <xf numFmtId="0" fontId="0" fillId="0" borderId="6" xfId="0" applyBorder="1" applyAlignment="1">
      <alignment horizontal="center" vertical="top"/>
    </xf>
    <xf numFmtId="14" fontId="0" fillId="0" borderId="6" xfId="0" applyNumberFormat="1" applyBorder="1" applyAlignment="1">
      <alignment horizontal="center" vertical="top"/>
    </xf>
    <xf numFmtId="0" fontId="0" fillId="0" borderId="7" xfId="0" applyBorder="1" applyAlignment="1">
      <alignment vertical="top" wrapText="1"/>
    </xf>
    <xf numFmtId="0" fontId="0" fillId="0" borderId="5" xfId="0" applyBorder="1" applyAlignment="1">
      <alignment horizontal="center" vertical="top"/>
    </xf>
    <xf numFmtId="0" fontId="9" fillId="3" borderId="8" xfId="0" applyFont="1" applyFill="1" applyBorder="1" applyAlignment="1">
      <alignment horizontal="center"/>
    </xf>
    <xf numFmtId="0" fontId="9" fillId="3" borderId="2" xfId="0" applyFont="1" applyFill="1" applyBorder="1" applyAlignment="1">
      <alignment horizontal="center"/>
    </xf>
    <xf numFmtId="0" fontId="9" fillId="3" borderId="9" xfId="0" applyFont="1" applyFill="1" applyBorder="1" applyAlignment="1">
      <alignment horizontal="center"/>
    </xf>
    <xf numFmtId="0" fontId="0" fillId="4" borderId="10" xfId="0" applyFill="1" applyBorder="1"/>
    <xf numFmtId="0" fontId="0" fillId="4" borderId="11" xfId="0" applyFill="1" applyBorder="1" applyAlignment="1">
      <alignment horizontal="center"/>
    </xf>
    <xf numFmtId="0" fontId="0" fillId="4" borderId="12" xfId="0" applyFill="1" applyBorder="1"/>
    <xf numFmtId="0" fontId="0" fillId="0" borderId="0" xfId="0" applyFill="1"/>
    <xf numFmtId="0" fontId="11" fillId="0" borderId="0" xfId="0" applyFont="1"/>
    <xf numFmtId="0" fontId="0" fillId="5" borderId="11" xfId="0" applyFill="1" applyBorder="1"/>
    <xf numFmtId="0" fontId="0" fillId="4" borderId="13" xfId="0" applyFill="1" applyBorder="1"/>
    <xf numFmtId="0" fontId="0" fillId="4" borderId="1" xfId="0" applyFill="1" applyBorder="1" applyAlignment="1">
      <alignment horizontal="center"/>
    </xf>
    <xf numFmtId="0" fontId="0" fillId="4" borderId="3" xfId="0" applyFill="1" applyBorder="1"/>
    <xf numFmtId="0" fontId="0" fillId="4" borderId="4" xfId="0" applyFill="1" applyBorder="1"/>
    <xf numFmtId="0" fontId="0" fillId="4" borderId="14" xfId="0" applyFill="1" applyBorder="1" applyAlignment="1">
      <alignment horizontal="center"/>
    </xf>
    <xf numFmtId="0" fontId="0" fillId="2" borderId="1" xfId="0" applyFill="1" applyBorder="1"/>
    <xf numFmtId="2" fontId="0" fillId="2" borderId="14" xfId="0" applyNumberFormat="1" applyFill="1" applyBorder="1"/>
    <xf numFmtId="2" fontId="0" fillId="2" borderId="1" xfId="0" applyNumberFormat="1" applyFill="1" applyBorder="1"/>
    <xf numFmtId="0" fontId="2" fillId="4" borderId="14" xfId="0" applyFont="1" applyFill="1" applyBorder="1" applyAlignment="1">
      <alignment horizontal="center"/>
    </xf>
    <xf numFmtId="0" fontId="2" fillId="4" borderId="11" xfId="0" applyFont="1" applyFill="1" applyBorder="1" applyAlignment="1">
      <alignment horizontal="center"/>
    </xf>
    <xf numFmtId="0" fontId="4" fillId="0" borderId="0" xfId="0" applyFont="1" applyFill="1" applyBorder="1" applyAlignment="1">
      <alignment horizontal="left"/>
    </xf>
    <xf numFmtId="1" fontId="0" fillId="2" borderId="14" xfId="0" applyNumberFormat="1" applyFill="1" applyBorder="1"/>
    <xf numFmtId="0" fontId="13" fillId="0" borderId="16" xfId="0" applyFont="1" applyFill="1" applyBorder="1" applyAlignment="1">
      <alignment horizontal="left" wrapText="1"/>
    </xf>
    <xf numFmtId="0" fontId="0" fillId="0" borderId="0" xfId="0" applyFill="1" applyBorder="1"/>
    <xf numFmtId="0" fontId="2" fillId="4" borderId="1" xfId="0" applyFont="1" applyFill="1" applyBorder="1" applyAlignment="1">
      <alignment horizontal="center"/>
    </xf>
    <xf numFmtId="0" fontId="2" fillId="0" borderId="16" xfId="0" applyFont="1" applyFill="1" applyBorder="1"/>
    <xf numFmtId="0" fontId="2" fillId="0" borderId="0" xfId="0" applyFont="1" applyFill="1" applyBorder="1"/>
    <xf numFmtId="0" fontId="4" fillId="0" borderId="0" xfId="0" applyFont="1" applyFill="1" applyBorder="1" applyAlignment="1" applyProtection="1">
      <alignment horizontal="left"/>
    </xf>
    <xf numFmtId="2" fontId="4" fillId="0" borderId="0" xfId="0" applyNumberFormat="1" applyFont="1" applyFill="1" applyBorder="1" applyAlignment="1" applyProtection="1">
      <alignment horizontal="left"/>
    </xf>
    <xf numFmtId="1" fontId="4" fillId="0" borderId="0" xfId="0" applyNumberFormat="1" applyFont="1" applyFill="1" applyBorder="1" applyAlignment="1" applyProtection="1">
      <alignment horizontal="left"/>
    </xf>
    <xf numFmtId="3" fontId="4" fillId="0" borderId="0" xfId="0" applyNumberFormat="1" applyFont="1" applyFill="1" applyBorder="1" applyAlignment="1" applyProtection="1">
      <alignment horizontal="left"/>
    </xf>
    <xf numFmtId="165" fontId="4" fillId="0" borderId="0" xfId="0" applyNumberFormat="1" applyFont="1" applyFill="1" applyBorder="1" applyAlignment="1" applyProtection="1">
      <alignment horizontal="left"/>
    </xf>
    <xf numFmtId="0" fontId="4" fillId="7" borderId="16" xfId="0" applyNumberFormat="1" applyFont="1" applyFill="1" applyBorder="1" applyAlignment="1" applyProtection="1">
      <alignment horizontal="left"/>
    </xf>
    <xf numFmtId="0" fontId="4" fillId="7" borderId="0" xfId="0" applyNumberFormat="1" applyFont="1" applyFill="1" applyBorder="1" applyAlignment="1" applyProtection="1">
      <alignment horizontal="left"/>
    </xf>
    <xf numFmtId="0" fontId="4" fillId="7" borderId="0" xfId="0" applyNumberFormat="1" applyFont="1" applyFill="1" applyBorder="1" applyAlignment="1">
      <alignment horizontal="left"/>
    </xf>
    <xf numFmtId="0" fontId="4" fillId="7" borderId="16" xfId="0" applyFont="1" applyFill="1" applyBorder="1" applyAlignment="1" applyProtection="1">
      <alignment horizontal="left"/>
    </xf>
    <xf numFmtId="0" fontId="4" fillId="7" borderId="0" xfId="0" applyFont="1" applyFill="1" applyBorder="1" applyAlignment="1" applyProtection="1">
      <alignment horizontal="left"/>
    </xf>
    <xf numFmtId="2" fontId="4" fillId="7" borderId="0" xfId="0" applyNumberFormat="1" applyFont="1" applyFill="1" applyBorder="1" applyAlignment="1" applyProtection="1">
      <alignment horizontal="left"/>
    </xf>
    <xf numFmtId="1" fontId="4" fillId="7" borderId="0" xfId="0" applyNumberFormat="1" applyFont="1" applyFill="1" applyBorder="1" applyAlignment="1" applyProtection="1">
      <alignment horizontal="left"/>
    </xf>
    <xf numFmtId="0" fontId="4" fillId="7" borderId="0" xfId="0" applyFont="1" applyFill="1" applyBorder="1" applyAlignment="1">
      <alignment horizontal="left"/>
    </xf>
    <xf numFmtId="165" fontId="4" fillId="7" borderId="0" xfId="0" applyNumberFormat="1" applyFont="1" applyFill="1" applyBorder="1" applyAlignment="1" applyProtection="1">
      <alignment horizontal="left"/>
    </xf>
    <xf numFmtId="3" fontId="4" fillId="7" borderId="0" xfId="0" applyNumberFormat="1" applyFont="1" applyFill="1" applyBorder="1" applyAlignment="1" applyProtection="1">
      <alignment horizontal="left"/>
    </xf>
    <xf numFmtId="0" fontId="4" fillId="7" borderId="16" xfId="0" applyFont="1" applyFill="1" applyBorder="1" applyAlignment="1">
      <alignment horizontal="left" vertical="center"/>
    </xf>
    <xf numFmtId="1" fontId="4" fillId="7" borderId="0" xfId="0" applyNumberFormat="1" applyFont="1" applyFill="1" applyBorder="1" applyAlignment="1">
      <alignment horizontal="left"/>
    </xf>
    <xf numFmtId="165" fontId="4" fillId="7" borderId="0" xfId="0" applyNumberFormat="1" applyFont="1" applyFill="1" applyBorder="1" applyAlignment="1">
      <alignment horizontal="left"/>
    </xf>
    <xf numFmtId="3" fontId="4" fillId="7" borderId="0" xfId="0" applyNumberFormat="1" applyFont="1" applyFill="1" applyBorder="1" applyAlignment="1">
      <alignment horizontal="left"/>
    </xf>
    <xf numFmtId="0" fontId="4" fillId="7" borderId="0" xfId="0" applyFont="1" applyFill="1" applyBorder="1" applyAlignment="1">
      <alignment horizontal="left" vertical="center"/>
    </xf>
    <xf numFmtId="168" fontId="4" fillId="7" borderId="0" xfId="0" applyNumberFormat="1" applyFont="1" applyFill="1" applyBorder="1" applyAlignment="1">
      <alignment horizontal="left"/>
    </xf>
    <xf numFmtId="167" fontId="4" fillId="7" borderId="0" xfId="0" applyNumberFormat="1" applyFont="1" applyFill="1" applyBorder="1" applyAlignment="1">
      <alignment horizontal="left"/>
    </xf>
    <xf numFmtId="0" fontId="4" fillId="7" borderId="17" xfId="0" applyFont="1" applyFill="1" applyBorder="1" applyAlignment="1" applyProtection="1">
      <alignment horizontal="left"/>
    </xf>
    <xf numFmtId="0" fontId="4" fillId="7" borderId="18" xfId="0" applyFont="1" applyFill="1" applyBorder="1" applyAlignment="1" applyProtection="1">
      <alignment horizontal="left"/>
    </xf>
    <xf numFmtId="2" fontId="4" fillId="7" borderId="18" xfId="0" applyNumberFormat="1" applyFont="1" applyFill="1" applyBorder="1" applyAlignment="1" applyProtection="1">
      <alignment horizontal="left"/>
    </xf>
    <xf numFmtId="1" fontId="4" fillId="7" borderId="18" xfId="0" applyNumberFormat="1" applyFont="1" applyFill="1" applyBorder="1" applyAlignment="1" applyProtection="1">
      <alignment horizontal="left"/>
    </xf>
    <xf numFmtId="0" fontId="4" fillId="7" borderId="18" xfId="0" applyFont="1" applyFill="1" applyBorder="1" applyAlignment="1">
      <alignment horizontal="left"/>
    </xf>
    <xf numFmtId="3" fontId="4" fillId="7" borderId="18" xfId="0" applyNumberFormat="1" applyFont="1" applyFill="1" applyBorder="1" applyAlignment="1" applyProtection="1">
      <alignment horizontal="left"/>
    </xf>
    <xf numFmtId="165" fontId="4" fillId="7" borderId="18" xfId="0" applyNumberFormat="1" applyFont="1" applyFill="1" applyBorder="1" applyAlignment="1" applyProtection="1">
      <alignment horizontal="left"/>
    </xf>
    <xf numFmtId="0" fontId="4" fillId="7" borderId="19" xfId="0" applyFont="1" applyFill="1" applyBorder="1" applyAlignment="1">
      <alignment horizontal="left"/>
    </xf>
    <xf numFmtId="0" fontId="4" fillId="7" borderId="16" xfId="0" applyFont="1" applyFill="1" applyBorder="1"/>
    <xf numFmtId="0" fontId="4" fillId="7" borderId="0" xfId="0" applyFont="1" applyFill="1" applyBorder="1" applyAlignment="1">
      <alignment horizontal="center" vertical="center"/>
    </xf>
    <xf numFmtId="0" fontId="4" fillId="7" borderId="20" xfId="0" applyFont="1" applyFill="1" applyBorder="1" applyAlignment="1">
      <alignment horizontal="center" vertical="center"/>
    </xf>
    <xf numFmtId="0" fontId="4" fillId="7" borderId="17" xfId="0" applyFont="1" applyFill="1" applyBorder="1"/>
    <xf numFmtId="0" fontId="4" fillId="7" borderId="18" xfId="0" applyFont="1" applyFill="1" applyBorder="1" applyAlignment="1">
      <alignment horizontal="center" vertical="center"/>
    </xf>
    <xf numFmtId="0" fontId="4" fillId="7" borderId="19" xfId="0" applyFont="1" applyFill="1" applyBorder="1" applyAlignment="1">
      <alignment horizontal="center" vertical="center"/>
    </xf>
    <xf numFmtId="0" fontId="4" fillId="7" borderId="16" xfId="0" applyFont="1" applyFill="1" applyBorder="1" applyAlignment="1">
      <alignment horizontal="left"/>
    </xf>
    <xf numFmtId="0" fontId="4" fillId="7" borderId="20" xfId="0" applyFont="1" applyFill="1" applyBorder="1" applyAlignment="1">
      <alignment horizontal="left"/>
    </xf>
    <xf numFmtId="0" fontId="4" fillId="7" borderId="17" xfId="0" applyFont="1" applyFill="1" applyBorder="1" applyAlignment="1">
      <alignment horizontal="left"/>
    </xf>
    <xf numFmtId="0" fontId="0" fillId="7" borderId="18" xfId="0" applyFill="1" applyBorder="1"/>
    <xf numFmtId="0" fontId="0" fillId="7" borderId="19" xfId="0" applyFill="1" applyBorder="1"/>
    <xf numFmtId="0" fontId="0" fillId="7" borderId="16" xfId="0" applyFill="1" applyBorder="1" applyAlignment="1">
      <alignment horizontal="left" wrapText="1"/>
    </xf>
    <xf numFmtId="0" fontId="0" fillId="7" borderId="0" xfId="0" applyFill="1" applyBorder="1" applyAlignment="1">
      <alignment horizontal="center" wrapText="1"/>
    </xf>
    <xf numFmtId="0" fontId="0" fillId="7" borderId="0" xfId="0" quotePrefix="1" applyFill="1" applyBorder="1" applyAlignment="1">
      <alignment horizontal="center" wrapText="1"/>
    </xf>
    <xf numFmtId="0" fontId="0" fillId="7" borderId="17" xfId="0" applyFill="1" applyBorder="1" applyAlignment="1">
      <alignment horizontal="left" wrapText="1"/>
    </xf>
    <xf numFmtId="0" fontId="0" fillId="7" borderId="18" xfId="0" applyFill="1" applyBorder="1" applyAlignment="1">
      <alignment horizontal="center" wrapText="1"/>
    </xf>
    <xf numFmtId="0" fontId="0" fillId="7" borderId="18" xfId="0" quotePrefix="1" applyFill="1" applyBorder="1" applyAlignment="1">
      <alignment horizontal="center" wrapText="1"/>
    </xf>
    <xf numFmtId="0" fontId="6" fillId="0" borderId="0" xfId="0" applyFont="1" applyBorder="1"/>
    <xf numFmtId="0" fontId="0" fillId="2" borderId="0" xfId="0" applyFill="1" applyBorder="1"/>
    <xf numFmtId="0" fontId="4" fillId="7" borderId="21" xfId="0" applyNumberFormat="1" applyFont="1" applyFill="1" applyBorder="1" applyAlignment="1" applyProtection="1">
      <alignment horizontal="left"/>
    </xf>
    <xf numFmtId="0" fontId="4" fillId="7" borderId="21" xfId="0" applyFont="1" applyFill="1" applyBorder="1" applyAlignment="1" applyProtection="1">
      <alignment horizontal="left"/>
    </xf>
    <xf numFmtId="0" fontId="9" fillId="3" borderId="22" xfId="0" applyFont="1" applyFill="1" applyBorder="1" applyAlignment="1">
      <alignment horizontal="center" wrapText="1"/>
    </xf>
    <xf numFmtId="0" fontId="9" fillId="3" borderId="23" xfId="0" applyFont="1" applyFill="1" applyBorder="1" applyAlignment="1">
      <alignment horizontal="center" wrapText="1"/>
    </xf>
    <xf numFmtId="0" fontId="9" fillId="3" borderId="24" xfId="0" applyFont="1" applyFill="1" applyBorder="1" applyAlignment="1">
      <alignment horizontal="center" wrapText="1"/>
    </xf>
    <xf numFmtId="0" fontId="0" fillId="7" borderId="1" xfId="0" applyFill="1" applyBorder="1"/>
    <xf numFmtId="0" fontId="2" fillId="4" borderId="13" xfId="0" applyFont="1" applyFill="1" applyBorder="1" applyAlignment="1">
      <alignment horizontal="right"/>
    </xf>
    <xf numFmtId="0" fontId="0" fillId="7" borderId="1" xfId="0" applyFill="1" applyBorder="1" applyAlignment="1">
      <alignment horizontal="right"/>
    </xf>
    <xf numFmtId="0" fontId="2" fillId="4" borderId="4" xfId="0" applyFont="1" applyFill="1" applyBorder="1"/>
    <xf numFmtId="0" fontId="13" fillId="7" borderId="25" xfId="0" applyFont="1" applyFill="1" applyBorder="1" applyAlignment="1">
      <alignment horizontal="left" wrapText="1"/>
    </xf>
    <xf numFmtId="0" fontId="4" fillId="7" borderId="21" xfId="0" applyFont="1" applyFill="1" applyBorder="1" applyAlignment="1">
      <alignment horizontal="left"/>
    </xf>
    <xf numFmtId="0" fontId="4" fillId="7" borderId="26" xfId="0" applyFont="1" applyFill="1" applyBorder="1" applyAlignment="1" applyProtection="1">
      <alignment horizontal="left"/>
    </xf>
    <xf numFmtId="0" fontId="2" fillId="4" borderId="10" xfId="0" applyFont="1" applyFill="1" applyBorder="1"/>
    <xf numFmtId="0" fontId="2" fillId="4" borderId="12" xfId="0" applyFont="1" applyFill="1" applyBorder="1"/>
    <xf numFmtId="0" fontId="2" fillId="4" borderId="15" xfId="0" applyFont="1" applyFill="1" applyBorder="1"/>
    <xf numFmtId="0" fontId="2" fillId="7" borderId="16" xfId="0" applyFont="1" applyFill="1" applyBorder="1" applyAlignment="1">
      <alignment horizontal="left" wrapText="1"/>
    </xf>
    <xf numFmtId="3" fontId="0" fillId="7" borderId="0" xfId="0" applyNumberFormat="1" applyFill="1" applyBorder="1" applyAlignment="1">
      <alignment horizontal="center" wrapText="1"/>
    </xf>
    <xf numFmtId="0" fontId="2" fillId="7" borderId="0" xfId="0" applyFont="1" applyFill="1" applyBorder="1" applyAlignment="1">
      <alignment horizontal="center" wrapText="1"/>
    </xf>
    <xf numFmtId="0" fontId="9" fillId="3" borderId="8" xfId="0" applyFont="1" applyFill="1" applyBorder="1" applyAlignment="1">
      <alignment horizontal="center" wrapText="1"/>
    </xf>
    <xf numFmtId="0" fontId="2" fillId="7" borderId="17" xfId="0" applyFont="1" applyFill="1" applyBorder="1" applyAlignment="1">
      <alignment horizontal="left" wrapText="1"/>
    </xf>
    <xf numFmtId="3" fontId="0" fillId="7" borderId="18" xfId="0" applyNumberFormat="1" applyFill="1" applyBorder="1" applyAlignment="1">
      <alignment horizontal="center" wrapText="1"/>
    </xf>
    <xf numFmtId="0" fontId="2" fillId="7" borderId="18" xfId="0" applyFont="1" applyFill="1" applyBorder="1" applyAlignment="1">
      <alignment horizontal="center" wrapText="1"/>
    </xf>
    <xf numFmtId="1" fontId="2" fillId="7" borderId="0" xfId="0" applyNumberFormat="1" applyFont="1" applyFill="1" applyBorder="1" applyAlignment="1">
      <alignment horizontal="center" wrapText="1"/>
    </xf>
    <xf numFmtId="1" fontId="0" fillId="7" borderId="0" xfId="0" applyNumberFormat="1" applyFill="1" applyBorder="1" applyAlignment="1">
      <alignment horizontal="center" wrapText="1"/>
    </xf>
    <xf numFmtId="1" fontId="0" fillId="7" borderId="18" xfId="0" applyNumberFormat="1" applyFill="1" applyBorder="1" applyAlignment="1">
      <alignment horizontal="center" wrapText="1"/>
    </xf>
    <xf numFmtId="0" fontId="13" fillId="7" borderId="27" xfId="0" applyFont="1" applyFill="1" applyBorder="1" applyAlignment="1">
      <alignment horizontal="left" wrapText="1"/>
    </xf>
    <xf numFmtId="0" fontId="4" fillId="7" borderId="28" xfId="0" applyFont="1" applyFill="1" applyBorder="1" applyAlignment="1">
      <alignment horizontal="left" wrapText="1"/>
    </xf>
    <xf numFmtId="0" fontId="13" fillId="7" borderId="28" xfId="0" applyFont="1" applyFill="1" applyBorder="1" applyAlignment="1">
      <alignment horizontal="left" wrapText="1"/>
    </xf>
    <xf numFmtId="0" fontId="13" fillId="7" borderId="28" xfId="0" applyFont="1" applyFill="1" applyBorder="1" applyAlignment="1" applyProtection="1">
      <alignment horizontal="left" wrapText="1"/>
    </xf>
    <xf numFmtId="0" fontId="4" fillId="7" borderId="29" xfId="0" applyFont="1" applyFill="1" applyBorder="1" applyAlignment="1">
      <alignment horizontal="left" wrapText="1"/>
    </xf>
    <xf numFmtId="0" fontId="4" fillId="7" borderId="20" xfId="0" applyNumberFormat="1" applyFont="1" applyFill="1" applyBorder="1" applyAlignment="1">
      <alignment horizontal="left"/>
    </xf>
    <xf numFmtId="0" fontId="10" fillId="4" borderId="11" xfId="0" applyFont="1" applyFill="1" applyBorder="1" applyAlignment="1">
      <alignment horizontal="center"/>
    </xf>
    <xf numFmtId="0" fontId="2" fillId="4" borderId="13" xfId="0" applyFont="1" applyFill="1" applyBorder="1"/>
    <xf numFmtId="9" fontId="0" fillId="5" borderId="11" xfId="6" applyFont="1" applyFill="1" applyBorder="1" applyAlignment="1">
      <alignment horizontal="right"/>
    </xf>
    <xf numFmtId="0" fontId="2" fillId="4" borderId="30" xfId="0" applyFont="1" applyFill="1" applyBorder="1"/>
    <xf numFmtId="0" fontId="2" fillId="4" borderId="31" xfId="0" applyFont="1" applyFill="1" applyBorder="1" applyAlignment="1">
      <alignment horizontal="center"/>
    </xf>
    <xf numFmtId="0" fontId="0" fillId="4" borderId="32" xfId="0" applyFill="1" applyBorder="1"/>
    <xf numFmtId="165" fontId="0" fillId="2" borderId="14" xfId="0" applyNumberFormat="1" applyFill="1" applyBorder="1"/>
    <xf numFmtId="165" fontId="0" fillId="2" borderId="31" xfId="0" applyNumberFormat="1" applyFill="1" applyBorder="1"/>
    <xf numFmtId="0" fontId="2" fillId="4" borderId="3" xfId="0" applyFont="1" applyFill="1" applyBorder="1"/>
    <xf numFmtId="0" fontId="4" fillId="7" borderId="17" xfId="0" applyFont="1" applyFill="1" applyBorder="1" applyAlignment="1">
      <alignment horizontal="left" vertical="center"/>
    </xf>
    <xf numFmtId="0" fontId="2" fillId="0" borderId="0" xfId="0" applyFont="1"/>
    <xf numFmtId="2" fontId="0" fillId="7" borderId="1" xfId="0" applyNumberFormat="1" applyFill="1" applyBorder="1" applyAlignment="1">
      <alignment horizontal="right"/>
    </xf>
    <xf numFmtId="0" fontId="2" fillId="4" borderId="4" xfId="0" applyFont="1" applyFill="1" applyBorder="1" applyAlignment="1">
      <alignment horizontal="right"/>
    </xf>
    <xf numFmtId="0" fontId="6" fillId="4" borderId="10" xfId="0" applyFont="1" applyFill="1" applyBorder="1"/>
    <xf numFmtId="0" fontId="0" fillId="8" borderId="11" xfId="0" applyFill="1" applyBorder="1"/>
    <xf numFmtId="0" fontId="2" fillId="8" borderId="1" xfId="0" applyFont="1" applyFill="1" applyBorder="1" applyAlignment="1">
      <alignment horizontal="center"/>
    </xf>
    <xf numFmtId="0" fontId="6" fillId="4" borderId="17" xfId="0" applyFont="1" applyFill="1" applyBorder="1"/>
    <xf numFmtId="0" fontId="2" fillId="4" borderId="32" xfId="0" applyFont="1" applyFill="1" applyBorder="1"/>
    <xf numFmtId="0" fontId="2" fillId="4" borderId="33" xfId="0" applyFont="1" applyFill="1" applyBorder="1"/>
    <xf numFmtId="0" fontId="2" fillId="4" borderId="34" xfId="0" applyFont="1" applyFill="1" applyBorder="1" applyAlignment="1">
      <alignment horizontal="center"/>
    </xf>
    <xf numFmtId="0" fontId="2" fillId="4" borderId="35" xfId="0" applyFont="1" applyFill="1" applyBorder="1"/>
    <xf numFmtId="0" fontId="2" fillId="4" borderId="10" xfId="0" applyFont="1" applyFill="1" applyBorder="1" applyAlignment="1">
      <alignment horizontal="right"/>
    </xf>
    <xf numFmtId="0" fontId="4" fillId="7" borderId="0" xfId="0" applyNumberFormat="1" applyFont="1" applyFill="1" applyBorder="1" applyAlignment="1" applyProtection="1">
      <alignment horizontal="center"/>
    </xf>
    <xf numFmtId="0" fontId="4" fillId="7" borderId="0" xfId="0" applyFont="1" applyFill="1" applyBorder="1" applyAlignment="1" applyProtection="1">
      <alignment horizontal="center"/>
    </xf>
    <xf numFmtId="0" fontId="4" fillId="7" borderId="18" xfId="0" applyFont="1" applyFill="1" applyBorder="1" applyAlignment="1" applyProtection="1">
      <alignment horizontal="center"/>
    </xf>
    <xf numFmtId="0" fontId="13" fillId="7" borderId="28" xfId="0" applyFont="1" applyFill="1" applyBorder="1" applyAlignment="1">
      <alignment horizontal="center" wrapText="1"/>
    </xf>
    <xf numFmtId="0" fontId="13" fillId="7" borderId="29" xfId="0" applyFont="1" applyFill="1" applyBorder="1" applyAlignment="1">
      <alignment horizontal="center" wrapText="1"/>
    </xf>
    <xf numFmtId="0" fontId="4" fillId="7" borderId="20" xfId="0" applyNumberFormat="1" applyFont="1" applyFill="1" applyBorder="1" applyAlignment="1" applyProtection="1">
      <alignment horizontal="center"/>
    </xf>
    <xf numFmtId="0" fontId="4" fillId="7" borderId="19" xfId="0" applyNumberFormat="1" applyFont="1" applyFill="1" applyBorder="1" applyAlignment="1" applyProtection="1">
      <alignment horizontal="center"/>
    </xf>
    <xf numFmtId="0" fontId="0" fillId="9" borderId="11" xfId="0" applyFill="1" applyBorder="1"/>
    <xf numFmtId="2" fontId="2" fillId="9" borderId="1" xfId="0" applyNumberFormat="1" applyFont="1" applyFill="1" applyBorder="1" applyAlignment="1"/>
    <xf numFmtId="2" fontId="0" fillId="9" borderId="14" xfId="0" applyNumberFormat="1" applyFill="1" applyBorder="1" applyAlignment="1"/>
    <xf numFmtId="2" fontId="2" fillId="9" borderId="14" xfId="0" applyNumberFormat="1" applyFont="1" applyFill="1" applyBorder="1" applyAlignment="1"/>
    <xf numFmtId="9" fontId="2" fillId="8" borderId="1" xfId="6" applyFont="1" applyFill="1" applyBorder="1" applyAlignment="1">
      <alignment horizontal="center"/>
    </xf>
    <xf numFmtId="9" fontId="2" fillId="8" borderId="1" xfId="0" applyNumberFormat="1" applyFont="1" applyFill="1" applyBorder="1" applyAlignment="1">
      <alignment horizontal="center"/>
    </xf>
    <xf numFmtId="0" fontId="0" fillId="4" borderId="18" xfId="0" applyFill="1" applyBorder="1" applyAlignment="1">
      <alignment horizontal="center"/>
    </xf>
    <xf numFmtId="164" fontId="17" fillId="9" borderId="31" xfId="6" applyNumberFormat="1" applyFont="1" applyFill="1" applyBorder="1" applyAlignment="1"/>
    <xf numFmtId="0" fontId="2" fillId="4" borderId="17" xfId="0" applyFont="1" applyFill="1" applyBorder="1"/>
    <xf numFmtId="0" fontId="10" fillId="4" borderId="18" xfId="0" applyFont="1" applyFill="1" applyBorder="1" applyAlignment="1">
      <alignment horizontal="center"/>
    </xf>
    <xf numFmtId="164" fontId="0" fillId="2" borderId="31" xfId="6" applyNumberFormat="1" applyFont="1" applyFill="1" applyBorder="1"/>
    <xf numFmtId="0" fontId="0" fillId="4" borderId="30" xfId="0" applyFill="1" applyBorder="1"/>
    <xf numFmtId="0" fontId="2" fillId="0" borderId="6" xfId="0" applyFont="1" applyBorder="1" applyAlignment="1">
      <alignment horizontal="center" vertical="top"/>
    </xf>
    <xf numFmtId="0" fontId="2" fillId="0" borderId="7" xfId="0" applyFont="1" applyBorder="1" applyAlignment="1">
      <alignment horizontal="left" vertical="top" wrapText="1"/>
    </xf>
    <xf numFmtId="0" fontId="2" fillId="0" borderId="7" xfId="0" applyFont="1" applyBorder="1" applyAlignment="1">
      <alignment vertical="top" wrapText="1"/>
    </xf>
    <xf numFmtId="0" fontId="0" fillId="5" borderId="36" xfId="0" applyFill="1" applyBorder="1"/>
    <xf numFmtId="0" fontId="0" fillId="2" borderId="37" xfId="0" applyFill="1" applyBorder="1"/>
    <xf numFmtId="0" fontId="9" fillId="3" borderId="37" xfId="0" applyFont="1" applyFill="1" applyBorder="1" applyAlignment="1"/>
    <xf numFmtId="0" fontId="2" fillId="4" borderId="37" xfId="0" applyFont="1" applyFill="1" applyBorder="1"/>
    <xf numFmtId="11" fontId="0" fillId="10" borderId="38" xfId="0" applyNumberFormat="1" applyFill="1" applyBorder="1"/>
    <xf numFmtId="0" fontId="0" fillId="4" borderId="3" xfId="0" applyFill="1" applyBorder="1" applyAlignment="1"/>
    <xf numFmtId="0" fontId="2" fillId="4" borderId="3" xfId="0" applyFont="1" applyFill="1" applyBorder="1" applyAlignment="1"/>
    <xf numFmtId="0" fontId="2" fillId="4" borderId="15" xfId="0" applyFont="1" applyFill="1" applyBorder="1" applyAlignment="1"/>
    <xf numFmtId="0" fontId="0" fillId="4" borderId="15" xfId="0" applyFill="1" applyBorder="1" applyAlignment="1"/>
    <xf numFmtId="0" fontId="0" fillId="4" borderId="32" xfId="0" applyFill="1" applyBorder="1" applyAlignment="1"/>
    <xf numFmtId="165" fontId="0" fillId="7" borderId="1" xfId="0" applyNumberFormat="1" applyFill="1" applyBorder="1" applyAlignment="1">
      <alignment horizontal="right"/>
    </xf>
    <xf numFmtId="1" fontId="0" fillId="2" borderId="1" xfId="0" applyNumberFormat="1" applyFill="1" applyBorder="1"/>
    <xf numFmtId="0" fontId="0" fillId="4" borderId="10" xfId="0" applyFont="1" applyFill="1" applyBorder="1"/>
    <xf numFmtId="0" fontId="18" fillId="4" borderId="11" xfId="0" applyFont="1" applyFill="1" applyBorder="1" applyAlignment="1">
      <alignment horizontal="center"/>
    </xf>
    <xf numFmtId="0" fontId="18" fillId="4" borderId="12" xfId="0" applyFont="1" applyFill="1" applyBorder="1"/>
    <xf numFmtId="0" fontId="18" fillId="4" borderId="3" xfId="0" applyFont="1" applyFill="1" applyBorder="1"/>
    <xf numFmtId="11" fontId="0" fillId="5" borderId="11" xfId="0" applyNumberFormat="1" applyFill="1" applyBorder="1"/>
    <xf numFmtId="0" fontId="0" fillId="0" borderId="7" xfId="0" applyFont="1" applyBorder="1" applyAlignment="1">
      <alignment vertical="top" wrapText="1"/>
    </xf>
    <xf numFmtId="0" fontId="0" fillId="4" borderId="13" xfId="0" applyFont="1" applyFill="1" applyBorder="1"/>
    <xf numFmtId="0" fontId="0" fillId="7" borderId="16" xfId="0" applyFont="1" applyFill="1" applyBorder="1" applyAlignment="1">
      <alignment horizontal="left" wrapText="1"/>
    </xf>
    <xf numFmtId="11" fontId="19" fillId="2" borderId="1" xfId="1" applyNumberFormat="1" applyBorder="1"/>
    <xf numFmtId="0" fontId="0" fillId="4" borderId="30" xfId="0" applyFont="1" applyFill="1" applyBorder="1"/>
    <xf numFmtId="0" fontId="0" fillId="4" borderId="31" xfId="0" applyFill="1" applyBorder="1" applyAlignment="1">
      <alignment horizontal="center"/>
    </xf>
    <xf numFmtId="166" fontId="19" fillId="2" borderId="31" xfId="1" applyBorder="1"/>
    <xf numFmtId="0" fontId="2" fillId="9" borderId="1" xfId="0" applyFont="1" applyFill="1" applyBorder="1" applyAlignment="1">
      <alignment horizontal="right"/>
    </xf>
    <xf numFmtId="0" fontId="18" fillId="4" borderId="13" xfId="7" applyBorder="1"/>
    <xf numFmtId="0" fontId="18" fillId="4" borderId="1" xfId="7" applyBorder="1"/>
    <xf numFmtId="0" fontId="0" fillId="4" borderId="17" xfId="0" applyFill="1" applyBorder="1"/>
    <xf numFmtId="0" fontId="0" fillId="4" borderId="18" xfId="0" applyFill="1" applyBorder="1"/>
    <xf numFmtId="0" fontId="0" fillId="4" borderId="19" xfId="0" applyFill="1" applyBorder="1"/>
    <xf numFmtId="165" fontId="19" fillId="2" borderId="1" xfId="1" applyNumberFormat="1" applyBorder="1"/>
    <xf numFmtId="0" fontId="18" fillId="4" borderId="39" xfId="7" applyBorder="1" applyAlignment="1">
      <alignment horizontal="center"/>
    </xf>
    <xf numFmtId="0" fontId="0" fillId="4" borderId="15" xfId="7" applyFont="1" applyBorder="1"/>
    <xf numFmtId="0" fontId="10" fillId="4" borderId="1" xfId="0" applyFont="1" applyFill="1" applyBorder="1" applyAlignment="1">
      <alignment horizontal="center"/>
    </xf>
    <xf numFmtId="0" fontId="0" fillId="4" borderId="11" xfId="0" applyFont="1" applyFill="1" applyBorder="1" applyAlignment="1">
      <alignment horizontal="center"/>
    </xf>
    <xf numFmtId="165" fontId="0" fillId="5" borderId="11" xfId="0" applyNumberFormat="1" applyFill="1" applyBorder="1"/>
    <xf numFmtId="0" fontId="0" fillId="4" borderId="32" xfId="0" applyFont="1" applyFill="1" applyBorder="1"/>
    <xf numFmtId="0" fontId="4" fillId="7" borderId="0" xfId="0" applyFont="1" applyFill="1" applyBorder="1" applyAlignment="1">
      <alignment horizontal="center"/>
    </xf>
    <xf numFmtId="0" fontId="4" fillId="7" borderId="18" xfId="0" applyFont="1" applyFill="1" applyBorder="1" applyAlignment="1">
      <alignment horizontal="center"/>
    </xf>
    <xf numFmtId="2" fontId="0" fillId="5" borderId="1" xfId="0" applyNumberFormat="1" applyFill="1" applyBorder="1"/>
    <xf numFmtId="1" fontId="0" fillId="5" borderId="1" xfId="0" applyNumberFormat="1" applyFill="1" applyBorder="1"/>
    <xf numFmtId="11" fontId="0" fillId="2" borderId="1" xfId="0" applyNumberFormat="1" applyFill="1" applyBorder="1"/>
    <xf numFmtId="0" fontId="0" fillId="0" borderId="0" xfId="0" applyAlignment="1">
      <alignment vertical="center"/>
    </xf>
    <xf numFmtId="0" fontId="26" fillId="0" borderId="0" xfId="0" applyFont="1" applyAlignment="1">
      <alignment vertical="center"/>
    </xf>
    <xf numFmtId="0" fontId="9" fillId="3" borderId="8" xfId="4" applyBorder="1" applyAlignment="1">
      <alignment horizontal="center" vertical="center"/>
    </xf>
    <xf numFmtId="0" fontId="9" fillId="3" borderId="2" xfId="4" applyBorder="1" applyAlignment="1">
      <alignment horizontal="center" vertical="center"/>
    </xf>
    <xf numFmtId="0" fontId="18" fillId="4" borderId="13" xfId="10" applyNumberFormat="1" applyFont="1" applyFill="1" applyBorder="1" applyAlignment="1">
      <alignment vertical="center"/>
    </xf>
    <xf numFmtId="165" fontId="19" fillId="2" borderId="1" xfId="1" applyNumberFormat="1" applyBorder="1" applyAlignment="1">
      <alignment vertical="center"/>
    </xf>
    <xf numFmtId="0" fontId="18" fillId="4" borderId="13" xfId="6" applyNumberFormat="1" applyFont="1" applyFill="1" applyBorder="1" applyAlignment="1">
      <alignment vertical="center"/>
    </xf>
    <xf numFmtId="3" fontId="0" fillId="5" borderId="11" xfId="0" applyNumberFormat="1" applyFill="1" applyBorder="1"/>
    <xf numFmtId="0" fontId="0" fillId="7" borderId="1" xfId="0" applyFont="1" applyFill="1" applyBorder="1"/>
    <xf numFmtId="2" fontId="0" fillId="7" borderId="1" xfId="0" applyNumberFormat="1" applyFont="1" applyFill="1" applyBorder="1"/>
    <xf numFmtId="0" fontId="0" fillId="4" borderId="1" xfId="0" applyFont="1" applyFill="1" applyBorder="1" applyAlignment="1">
      <alignment horizontal="center"/>
    </xf>
    <xf numFmtId="1" fontId="19" fillId="2" borderId="1" xfId="1" applyNumberFormat="1"/>
    <xf numFmtId="11" fontId="19" fillId="2" borderId="1" xfId="1" applyNumberFormat="1" applyBorder="1" applyAlignment="1">
      <alignment vertical="center"/>
    </xf>
    <xf numFmtId="11" fontId="0" fillId="0" borderId="0" xfId="0" applyNumberFormat="1"/>
    <xf numFmtId="11" fontId="13" fillId="7" borderId="28" xfId="0" applyNumberFormat="1" applyFont="1" applyFill="1" applyBorder="1" applyAlignment="1">
      <alignment horizontal="left" wrapText="1"/>
    </xf>
    <xf numFmtId="11" fontId="13" fillId="7" borderId="28" xfId="0" applyNumberFormat="1" applyFont="1" applyFill="1" applyBorder="1" applyAlignment="1">
      <alignment horizontal="center" wrapText="1"/>
    </xf>
    <xf numFmtId="0" fontId="9" fillId="3" borderId="2" xfId="0" applyFont="1" applyFill="1" applyBorder="1" applyAlignment="1">
      <alignment horizontal="center" wrapText="1"/>
    </xf>
    <xf numFmtId="0" fontId="0" fillId="4" borderId="1" xfId="11" applyFont="1"/>
    <xf numFmtId="0" fontId="0" fillId="5" borderId="1" xfId="0" applyFill="1" applyBorder="1"/>
    <xf numFmtId="0" fontId="0" fillId="4" borderId="1" xfId="11" applyFont="1" applyAlignment="1">
      <alignment vertical="top"/>
    </xf>
    <xf numFmtId="0" fontId="1" fillId="4" borderId="1" xfId="11"/>
    <xf numFmtId="0" fontId="0" fillId="5" borderId="1" xfId="12" applyFont="1"/>
    <xf numFmtId="0" fontId="1" fillId="5" borderId="1" xfId="12"/>
    <xf numFmtId="0" fontId="0" fillId="7" borderId="20" xfId="0" applyFill="1" applyBorder="1" applyAlignment="1">
      <alignment wrapText="1"/>
    </xf>
    <xf numFmtId="0" fontId="0" fillId="7" borderId="20" xfId="0" applyFill="1" applyBorder="1" applyAlignment="1"/>
    <xf numFmtId="0" fontId="9" fillId="3" borderId="2" xfId="0" applyFont="1" applyFill="1" applyBorder="1" applyAlignment="1">
      <alignment horizontal="center" wrapText="1"/>
    </xf>
    <xf numFmtId="0" fontId="9" fillId="3" borderId="9" xfId="0" applyFont="1" applyFill="1" applyBorder="1" applyAlignment="1">
      <alignment horizontal="center" wrapText="1"/>
    </xf>
    <xf numFmtId="0" fontId="2" fillId="7" borderId="39" xfId="0" applyFont="1" applyFill="1" applyBorder="1" applyAlignment="1">
      <alignment horizontal="left" wrapText="1"/>
    </xf>
    <xf numFmtId="0" fontId="2" fillId="7" borderId="40" xfId="0" applyFont="1" applyFill="1" applyBorder="1" applyAlignment="1">
      <alignment horizontal="left" wrapText="1"/>
    </xf>
    <xf numFmtId="0" fontId="2" fillId="7" borderId="0" xfId="0" applyFont="1" applyFill="1" applyBorder="1" applyAlignment="1">
      <alignment horizontal="left" wrapText="1"/>
    </xf>
    <xf numFmtId="0" fontId="2" fillId="7" borderId="20" xfId="0" applyFont="1" applyFill="1" applyBorder="1" applyAlignment="1">
      <alignment horizontal="left" wrapText="1"/>
    </xf>
    <xf numFmtId="0" fontId="2" fillId="7" borderId="18" xfId="0" applyFont="1" applyFill="1" applyBorder="1" applyAlignment="1">
      <alignment horizontal="left" wrapText="1"/>
    </xf>
    <xf numFmtId="0" fontId="2" fillId="7" borderId="19" xfId="0" applyFont="1" applyFill="1" applyBorder="1" applyAlignment="1">
      <alignment horizontal="left" wrapText="1"/>
    </xf>
    <xf numFmtId="0" fontId="0" fillId="7" borderId="18" xfId="0" applyFill="1" applyBorder="1" applyAlignment="1">
      <alignment wrapText="1"/>
    </xf>
    <xf numFmtId="0" fontId="0" fillId="7" borderId="19" xfId="0" applyFill="1" applyBorder="1" applyAlignment="1"/>
    <xf numFmtId="0" fontId="0" fillId="5" borderId="0" xfId="12" applyFont="1" applyBorder="1" applyAlignment="1">
      <alignment horizontal="left" vertical="top" wrapText="1"/>
    </xf>
    <xf numFmtId="167" fontId="0" fillId="2" borderId="14" xfId="0" applyNumberFormat="1" applyFill="1" applyBorder="1"/>
    <xf numFmtId="168" fontId="0" fillId="2" borderId="14" xfId="0" applyNumberFormat="1" applyFill="1" applyBorder="1"/>
    <xf numFmtId="170" fontId="0" fillId="2" borderId="14" xfId="0" applyNumberFormat="1" applyFill="1" applyBorder="1"/>
    <xf numFmtId="168" fontId="0" fillId="2" borderId="34" xfId="0" applyNumberFormat="1" applyFill="1" applyBorder="1"/>
    <xf numFmtId="170" fontId="0" fillId="2" borderId="1" xfId="0" applyNumberFormat="1" applyFill="1" applyBorder="1"/>
    <xf numFmtId="166" fontId="0" fillId="2" borderId="31" xfId="0" applyNumberFormat="1" applyFill="1" applyBorder="1"/>
    <xf numFmtId="3" fontId="0" fillId="2" borderId="1" xfId="0" applyNumberFormat="1" applyFill="1" applyBorder="1"/>
    <xf numFmtId="2" fontId="19" fillId="2" borderId="1" xfId="1" applyNumberFormat="1" applyBorder="1"/>
  </cellXfs>
  <cellStyles count="13">
    <cellStyle name="Calc value" xfId="1"/>
    <cellStyle name="Comma" xfId="10" builtinId="3"/>
    <cellStyle name="Database" xfId="2"/>
    <cellStyle name="Followed Hyperlink" xfId="3" builtinId="9" customBuiltin="1"/>
    <cellStyle name="Heading" xfId="4"/>
    <cellStyle name="Hyperlink" xfId="5" builtinId="8" customBuiltin="1"/>
    <cellStyle name="Normal" xfId="0" builtinId="0" customBuiltin="1"/>
    <cellStyle name="Percent" xfId="6" builtinId="5"/>
    <cellStyle name="Sub Heading" xfId="7"/>
    <cellStyle name="Sub Heading 2" xfId="11"/>
    <cellStyle name="Total" xfId="8" builtinId="25" customBuiltin="1"/>
    <cellStyle name="User input" xfId="9"/>
    <cellStyle name="User input 2" xfId="12"/>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alcChain" Target="calcChain.xml"/><Relationship Id="rId5" Type="http://schemas.openxmlformats.org/officeDocument/2006/relationships/externalLink" Target="externalLinks/externalLink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Electric Propulsion ISP Variation</a:t>
            </a:r>
          </a:p>
        </c:rich>
      </c:tx>
      <c:layout/>
      <c:overlay val="0"/>
    </c:title>
    <c:autoTitleDeleted val="0"/>
    <c:plotArea>
      <c:layout/>
      <c:scatterChart>
        <c:scatterStyle val="smoothMarker"/>
        <c:varyColors val="0"/>
        <c:ser>
          <c:idx val="0"/>
          <c:order val="0"/>
          <c:tx>
            <c:strRef>
              <c:f>'Propulsion example'!$I$34:$I$35</c:f>
              <c:strCache>
                <c:ptCount val="2"/>
                <c:pt idx="0">
                  <c:v>Mp</c:v>
                </c:pt>
                <c:pt idx="1">
                  <c:v>I25</c:v>
                </c:pt>
              </c:strCache>
            </c:strRef>
          </c:tx>
          <c:marker>
            <c:symbol val="none"/>
          </c:marker>
          <c:xVal>
            <c:numRef>
              <c:f>'Propulsion example'!$H$36:$H$64</c:f>
              <c:numCache>
                <c:formatCode>General</c:formatCode>
                <c:ptCount val="29"/>
                <c:pt idx="0">
                  <c:v>500</c:v>
                </c:pt>
                <c:pt idx="1">
                  <c:v>600</c:v>
                </c:pt>
                <c:pt idx="2">
                  <c:v>700</c:v>
                </c:pt>
                <c:pt idx="3">
                  <c:v>800</c:v>
                </c:pt>
                <c:pt idx="4">
                  <c:v>900</c:v>
                </c:pt>
                <c:pt idx="5">
                  <c:v>1000</c:v>
                </c:pt>
                <c:pt idx="6">
                  <c:v>1100</c:v>
                </c:pt>
                <c:pt idx="7">
                  <c:v>1200</c:v>
                </c:pt>
                <c:pt idx="8">
                  <c:v>1300</c:v>
                </c:pt>
                <c:pt idx="9">
                  <c:v>1400</c:v>
                </c:pt>
                <c:pt idx="10">
                  <c:v>1500</c:v>
                </c:pt>
                <c:pt idx="11">
                  <c:v>1600</c:v>
                </c:pt>
                <c:pt idx="12">
                  <c:v>1700</c:v>
                </c:pt>
                <c:pt idx="13">
                  <c:v>1800</c:v>
                </c:pt>
                <c:pt idx="14">
                  <c:v>1900</c:v>
                </c:pt>
                <c:pt idx="15">
                  <c:v>2000</c:v>
                </c:pt>
                <c:pt idx="16">
                  <c:v>2100</c:v>
                </c:pt>
                <c:pt idx="17">
                  <c:v>2200</c:v>
                </c:pt>
                <c:pt idx="18">
                  <c:v>2300</c:v>
                </c:pt>
                <c:pt idx="19">
                  <c:v>2400</c:v>
                </c:pt>
                <c:pt idx="20">
                  <c:v>2500</c:v>
                </c:pt>
                <c:pt idx="21">
                  <c:v>2600</c:v>
                </c:pt>
                <c:pt idx="22">
                  <c:v>2700</c:v>
                </c:pt>
                <c:pt idx="23">
                  <c:v>2800</c:v>
                </c:pt>
                <c:pt idx="24">
                  <c:v>2900</c:v>
                </c:pt>
                <c:pt idx="25">
                  <c:v>3000</c:v>
                </c:pt>
                <c:pt idx="26">
                  <c:v>3100</c:v>
                </c:pt>
                <c:pt idx="27">
                  <c:v>3200</c:v>
                </c:pt>
                <c:pt idx="28">
                  <c:v>3300</c:v>
                </c:pt>
              </c:numCache>
            </c:numRef>
          </c:xVal>
          <c:yVal>
            <c:numRef>
              <c:f>'Propulsion example'!$I$36:$I$64</c:f>
              <c:numCache>
                <c:formatCode>0.0</c:formatCode>
                <c:ptCount val="29"/>
                <c:pt idx="0">
                  <c:v>8.1387698908456141</c:v>
                </c:pt>
                <c:pt idx="1">
                  <c:v>6.1606298898567635</c:v>
                </c:pt>
                <c:pt idx="2">
                  <c:v>4.9406776623876167</c:v>
                </c:pt>
                <c:pt idx="3">
                  <c:v>4.1184885540214831</c:v>
                </c:pt>
                <c:pt idx="4">
                  <c:v>3.5289955090429945</c:v>
                </c:pt>
                <c:pt idx="5">
                  <c:v>3.0866722231402028</c:v>
                </c:pt>
                <c:pt idx="6">
                  <c:v>2.7430349138647054</c:v>
                </c:pt>
                <c:pt idx="7">
                  <c:v>2.4686506992173283</c:v>
                </c:pt>
                <c:pt idx="8">
                  <c:v>2.2446627651858919</c:v>
                </c:pt>
                <c:pt idx="9">
                  <c:v>2.0584530962623058</c:v>
                </c:pt>
                <c:pt idx="10">
                  <c:v>1.901270337181423</c:v>
                </c:pt>
                <c:pt idx="11">
                  <c:v>1.7668598901010923</c:v>
                </c:pt>
                <c:pt idx="12">
                  <c:v>1.6506360514757072</c:v>
                </c:pt>
                <c:pt idx="13">
                  <c:v>1.5491620893236209</c:v>
                </c:pt>
                <c:pt idx="14">
                  <c:v>1.4598127504535041</c:v>
                </c:pt>
                <c:pt idx="15">
                  <c:v>1.380548815918812</c:v>
                </c:pt>
                <c:pt idx="16">
                  <c:v>1.309762674578917</c:v>
                </c:pt>
                <c:pt idx="17">
                  <c:v>1.2461701703619783</c:v>
                </c:pt>
                <c:pt idx="18">
                  <c:v>1.1887333475478148</c:v>
                </c:pt>
                <c:pt idx="19">
                  <c:v>1.1366042828633225</c:v>
                </c:pt>
                <c:pt idx="20">
                  <c:v>1.0890835934623306</c:v>
                </c:pt>
                <c:pt idx="21">
                  <c:v>1.0455893412781962</c:v>
                </c:pt>
                <c:pt idx="22">
                  <c:v>1.005633421316009</c:v>
                </c:pt>
                <c:pt idx="23">
                  <c:v>0.96880341671956716</c:v>
                </c:pt>
                <c:pt idx="24">
                  <c:v>0.93474850094788287</c:v>
                </c:pt>
                <c:pt idx="25">
                  <c:v>0.90316837312982245</c:v>
                </c:pt>
                <c:pt idx="26">
                  <c:v>0.87380449259345638</c:v>
                </c:pt>
                <c:pt idx="27">
                  <c:v>0.84643307454500794</c:v>
                </c:pt>
                <c:pt idx="28">
                  <c:v>0.82085944794583243</c:v>
                </c:pt>
              </c:numCache>
            </c:numRef>
          </c:yVal>
          <c:smooth val="1"/>
          <c:extLst>
            <c:ext xmlns:c16="http://schemas.microsoft.com/office/drawing/2014/chart" uri="{C3380CC4-5D6E-409C-BE32-E72D297353CC}">
              <c16:uniqueId val="{00000000-CB6B-4389-A147-A3AE64071B7B}"/>
            </c:ext>
          </c:extLst>
        </c:ser>
        <c:ser>
          <c:idx val="1"/>
          <c:order val="1"/>
          <c:tx>
            <c:strRef>
              <c:f>'Propulsion example'!$J$34:$J$35</c:f>
              <c:strCache>
                <c:ptCount val="2"/>
                <c:pt idx="0">
                  <c:v>Mw</c:v>
                </c:pt>
                <c:pt idx="1">
                  <c:v>I26</c:v>
                </c:pt>
              </c:strCache>
            </c:strRef>
          </c:tx>
          <c:marker>
            <c:symbol val="none"/>
          </c:marker>
          <c:xVal>
            <c:numRef>
              <c:f>'Propulsion example'!$H$36:$H$64</c:f>
              <c:numCache>
                <c:formatCode>General</c:formatCode>
                <c:ptCount val="29"/>
                <c:pt idx="0">
                  <c:v>500</c:v>
                </c:pt>
                <c:pt idx="1">
                  <c:v>600</c:v>
                </c:pt>
                <c:pt idx="2">
                  <c:v>700</c:v>
                </c:pt>
                <c:pt idx="3">
                  <c:v>800</c:v>
                </c:pt>
                <c:pt idx="4">
                  <c:v>900</c:v>
                </c:pt>
                <c:pt idx="5">
                  <c:v>1000</c:v>
                </c:pt>
                <c:pt idx="6">
                  <c:v>1100</c:v>
                </c:pt>
                <c:pt idx="7">
                  <c:v>1200</c:v>
                </c:pt>
                <c:pt idx="8">
                  <c:v>1300</c:v>
                </c:pt>
                <c:pt idx="9">
                  <c:v>1400</c:v>
                </c:pt>
                <c:pt idx="10">
                  <c:v>1500</c:v>
                </c:pt>
                <c:pt idx="11">
                  <c:v>1600</c:v>
                </c:pt>
                <c:pt idx="12">
                  <c:v>1700</c:v>
                </c:pt>
                <c:pt idx="13">
                  <c:v>1800</c:v>
                </c:pt>
                <c:pt idx="14">
                  <c:v>1900</c:v>
                </c:pt>
                <c:pt idx="15">
                  <c:v>2000</c:v>
                </c:pt>
                <c:pt idx="16">
                  <c:v>2100</c:v>
                </c:pt>
                <c:pt idx="17">
                  <c:v>2200</c:v>
                </c:pt>
                <c:pt idx="18">
                  <c:v>2300</c:v>
                </c:pt>
                <c:pt idx="19">
                  <c:v>2400</c:v>
                </c:pt>
                <c:pt idx="20">
                  <c:v>2500</c:v>
                </c:pt>
                <c:pt idx="21">
                  <c:v>2600</c:v>
                </c:pt>
                <c:pt idx="22">
                  <c:v>2700</c:v>
                </c:pt>
                <c:pt idx="23">
                  <c:v>2800</c:v>
                </c:pt>
                <c:pt idx="24">
                  <c:v>2900</c:v>
                </c:pt>
                <c:pt idx="25">
                  <c:v>3000</c:v>
                </c:pt>
                <c:pt idx="26">
                  <c:v>3100</c:v>
                </c:pt>
                <c:pt idx="27">
                  <c:v>3200</c:v>
                </c:pt>
                <c:pt idx="28">
                  <c:v>3300</c:v>
                </c:pt>
              </c:numCache>
            </c:numRef>
          </c:xVal>
          <c:yVal>
            <c:numRef>
              <c:f>'Propulsion example'!$J$36:$J$64</c:f>
              <c:numCache>
                <c:formatCode>0.0</c:formatCode>
                <c:ptCount val="29"/>
                <c:pt idx="0">
                  <c:v>9.4430395579235105E-2</c:v>
                </c:pt>
                <c:pt idx="1">
                  <c:v>0.10292968648320217</c:v>
                </c:pt>
                <c:pt idx="2">
                  <c:v>0.1123558349232241</c:v>
                </c:pt>
                <c:pt idx="3">
                  <c:v>0.1223294062758231</c:v>
                </c:pt>
                <c:pt idx="4">
                  <c:v>0.13266279871398928</c:v>
                </c:pt>
                <c:pt idx="5">
                  <c:v>0.14325294016847168</c:v>
                </c:pt>
                <c:pt idx="6">
                  <c:v>0.15403866153151621</c:v>
                </c:pt>
                <c:pt idx="7">
                  <c:v>0.16498146913538106</c:v>
                </c:pt>
                <c:pt idx="8">
                  <c:v>0.17605600292681001</c:v>
                </c:pt>
                <c:pt idx="9">
                  <c:v>0.18724493446842663</c:v>
                </c:pt>
                <c:pt idx="10">
                  <c:v>0.19853607019968009</c:v>
                </c:pt>
                <c:pt idx="11">
                  <c:v>0.2099206235429108</c:v>
                </c:pt>
                <c:pt idx="12">
                  <c:v>0.22139214070591606</c:v>
                </c:pt>
                <c:pt idx="13">
                  <c:v>0.23294580897555772</c:v>
                </c:pt>
                <c:pt idx="14">
                  <c:v>0.24457799761788471</c:v>
                </c:pt>
                <c:pt idx="15">
                  <c:v>0.25628594503017821</c:v>
                </c:pt>
                <c:pt idx="16">
                  <c:v>0.26806754056532822</c:v>
                </c:pt>
                <c:pt idx="17">
                  <c:v>0.2799211692316485</c:v>
                </c:pt>
                <c:pt idx="18">
                  <c:v>0.29184559911218927</c:v>
                </c:pt>
                <c:pt idx="19">
                  <c:v>0.3038398984057305</c:v>
                </c:pt>
                <c:pt idx="20">
                  <c:v>0.31590337338686403</c:v>
                </c:pt>
                <c:pt idx="21">
                  <c:v>0.32803552138589631</c:v>
                </c:pt>
                <c:pt idx="22">
                  <c:v>0.34023599471640087</c:v>
                </c:pt>
                <c:pt idx="23">
                  <c:v>0.35250457269263358</c:v>
                </c:pt>
                <c:pt idx="24">
                  <c:v>0.36484113970076842</c:v>
                </c:pt>
                <c:pt idx="25">
                  <c:v>0.37724566785312025</c:v>
                </c:pt>
                <c:pt idx="26">
                  <c:v>0.38971820314918926</c:v>
                </c:pt>
                <c:pt idx="27">
                  <c:v>0.40225885434676967</c:v>
                </c:pt>
                <c:pt idx="28">
                  <c:v>0.41486778394677304</c:v>
                </c:pt>
              </c:numCache>
            </c:numRef>
          </c:yVal>
          <c:smooth val="1"/>
          <c:extLst>
            <c:ext xmlns:c16="http://schemas.microsoft.com/office/drawing/2014/chart" uri="{C3380CC4-5D6E-409C-BE32-E72D297353CC}">
              <c16:uniqueId val="{00000001-CB6B-4389-A147-A3AE64071B7B}"/>
            </c:ext>
          </c:extLst>
        </c:ser>
        <c:ser>
          <c:idx val="2"/>
          <c:order val="2"/>
          <c:tx>
            <c:strRef>
              <c:f>'Propulsion example'!$K$34:$K$35</c:f>
              <c:strCache>
                <c:ptCount val="2"/>
                <c:pt idx="0">
                  <c:v>Total M</c:v>
                </c:pt>
                <c:pt idx="1">
                  <c:v>I27</c:v>
                </c:pt>
              </c:strCache>
            </c:strRef>
          </c:tx>
          <c:marker>
            <c:symbol val="none"/>
          </c:marker>
          <c:xVal>
            <c:numRef>
              <c:f>'Propulsion example'!$H$36:$H$64</c:f>
              <c:numCache>
                <c:formatCode>General</c:formatCode>
                <c:ptCount val="29"/>
                <c:pt idx="0">
                  <c:v>500</c:v>
                </c:pt>
                <c:pt idx="1">
                  <c:v>600</c:v>
                </c:pt>
                <c:pt idx="2">
                  <c:v>700</c:v>
                </c:pt>
                <c:pt idx="3">
                  <c:v>800</c:v>
                </c:pt>
                <c:pt idx="4">
                  <c:v>900</c:v>
                </c:pt>
                <c:pt idx="5">
                  <c:v>1000</c:v>
                </c:pt>
                <c:pt idx="6">
                  <c:v>1100</c:v>
                </c:pt>
                <c:pt idx="7">
                  <c:v>1200</c:v>
                </c:pt>
                <c:pt idx="8">
                  <c:v>1300</c:v>
                </c:pt>
                <c:pt idx="9">
                  <c:v>1400</c:v>
                </c:pt>
                <c:pt idx="10">
                  <c:v>1500</c:v>
                </c:pt>
                <c:pt idx="11">
                  <c:v>1600</c:v>
                </c:pt>
                <c:pt idx="12">
                  <c:v>1700</c:v>
                </c:pt>
                <c:pt idx="13">
                  <c:v>1800</c:v>
                </c:pt>
                <c:pt idx="14">
                  <c:v>1900</c:v>
                </c:pt>
                <c:pt idx="15">
                  <c:v>2000</c:v>
                </c:pt>
                <c:pt idx="16">
                  <c:v>2100</c:v>
                </c:pt>
                <c:pt idx="17">
                  <c:v>2200</c:v>
                </c:pt>
                <c:pt idx="18">
                  <c:v>2300</c:v>
                </c:pt>
                <c:pt idx="19">
                  <c:v>2400</c:v>
                </c:pt>
                <c:pt idx="20">
                  <c:v>2500</c:v>
                </c:pt>
                <c:pt idx="21">
                  <c:v>2600</c:v>
                </c:pt>
                <c:pt idx="22">
                  <c:v>2700</c:v>
                </c:pt>
                <c:pt idx="23">
                  <c:v>2800</c:v>
                </c:pt>
                <c:pt idx="24">
                  <c:v>2900</c:v>
                </c:pt>
                <c:pt idx="25">
                  <c:v>3000</c:v>
                </c:pt>
                <c:pt idx="26">
                  <c:v>3100</c:v>
                </c:pt>
                <c:pt idx="27">
                  <c:v>3200</c:v>
                </c:pt>
                <c:pt idx="28">
                  <c:v>3300</c:v>
                </c:pt>
              </c:numCache>
            </c:numRef>
          </c:xVal>
          <c:yVal>
            <c:numRef>
              <c:f>'Propulsion example'!$K$36:$K$64</c:f>
              <c:numCache>
                <c:formatCode>0.0</c:formatCode>
                <c:ptCount val="29"/>
                <c:pt idx="0">
                  <c:v>12.733200286424848</c:v>
                </c:pt>
                <c:pt idx="1">
                  <c:v>10.763559576339967</c:v>
                </c:pt>
                <c:pt idx="2">
                  <c:v>9.5530334973108424</c:v>
                </c:pt>
                <c:pt idx="3">
                  <c:v>8.7408179602973046</c:v>
                </c:pt>
                <c:pt idx="4">
                  <c:v>8.1616583077569835</c:v>
                </c:pt>
                <c:pt idx="5">
                  <c:v>7.7299251633086747</c:v>
                </c:pt>
                <c:pt idx="6">
                  <c:v>7.397073575396222</c:v>
                </c:pt>
                <c:pt idx="7">
                  <c:v>7.1336321683527091</c:v>
                </c:pt>
                <c:pt idx="8">
                  <c:v>6.9207187681127014</c:v>
                </c:pt>
                <c:pt idx="9">
                  <c:v>6.7456980307307326</c:v>
                </c:pt>
                <c:pt idx="10">
                  <c:v>6.5998064073811022</c:v>
                </c:pt>
                <c:pt idx="11">
                  <c:v>6.4767805136440035</c:v>
                </c:pt>
                <c:pt idx="12">
                  <c:v>6.3720281921816238</c:v>
                </c:pt>
                <c:pt idx="13">
                  <c:v>6.2821078982991789</c:v>
                </c:pt>
                <c:pt idx="14">
                  <c:v>6.2043907480713889</c:v>
                </c:pt>
                <c:pt idx="15">
                  <c:v>6.1368347609489895</c:v>
                </c:pt>
                <c:pt idx="16">
                  <c:v>6.0778302151442452</c:v>
                </c:pt>
                <c:pt idx="17">
                  <c:v>6.0260913395936262</c:v>
                </c:pt>
                <c:pt idx="18">
                  <c:v>5.9805789466600041</c:v>
                </c:pt>
                <c:pt idx="19">
                  <c:v>5.9404441812690525</c:v>
                </c:pt>
                <c:pt idx="20">
                  <c:v>5.9049869668491946</c:v>
                </c:pt>
                <c:pt idx="21">
                  <c:v>5.8736248626640926</c:v>
                </c:pt>
                <c:pt idx="22">
                  <c:v>5.8458694160324098</c:v>
                </c:pt>
                <c:pt idx="23">
                  <c:v>5.8213079894122002</c:v>
                </c:pt>
                <c:pt idx="24">
                  <c:v>5.7995896406486516</c:v>
                </c:pt>
                <c:pt idx="25">
                  <c:v>5.7804140409829428</c:v>
                </c:pt>
                <c:pt idx="26">
                  <c:v>5.7635226957426458</c:v>
                </c:pt>
                <c:pt idx="27">
                  <c:v>5.7486919288917777</c:v>
                </c:pt>
                <c:pt idx="28">
                  <c:v>5.7357272318926054</c:v>
                </c:pt>
              </c:numCache>
            </c:numRef>
          </c:yVal>
          <c:smooth val="1"/>
          <c:extLst>
            <c:ext xmlns:c16="http://schemas.microsoft.com/office/drawing/2014/chart" uri="{C3380CC4-5D6E-409C-BE32-E72D297353CC}">
              <c16:uniqueId val="{00000002-CB6B-4389-A147-A3AE64071B7B}"/>
            </c:ext>
          </c:extLst>
        </c:ser>
        <c:dLbls>
          <c:showLegendKey val="0"/>
          <c:showVal val="0"/>
          <c:showCatName val="0"/>
          <c:showSerName val="0"/>
          <c:showPercent val="0"/>
          <c:showBubbleSize val="0"/>
        </c:dLbls>
        <c:axId val="75356032"/>
        <c:axId val="75474432"/>
      </c:scatterChart>
      <c:scatterChart>
        <c:scatterStyle val="smoothMarker"/>
        <c:varyColors val="0"/>
        <c:ser>
          <c:idx val="3"/>
          <c:order val="3"/>
          <c:tx>
            <c:strRef>
              <c:f>'Propulsion example'!$L$34:$L$35</c:f>
              <c:strCache>
                <c:ptCount val="2"/>
                <c:pt idx="0">
                  <c:v>Power</c:v>
                </c:pt>
                <c:pt idx="1">
                  <c:v>I30</c:v>
                </c:pt>
              </c:strCache>
            </c:strRef>
          </c:tx>
          <c:spPr>
            <a:ln>
              <a:solidFill>
                <a:srgbClr val="FF0000"/>
              </a:solidFill>
            </a:ln>
          </c:spPr>
          <c:marker>
            <c:symbol val="circle"/>
            <c:size val="5"/>
            <c:spPr>
              <a:solidFill>
                <a:srgbClr val="FF0000"/>
              </a:solidFill>
              <a:ln>
                <a:solidFill>
                  <a:schemeClr val="tx1"/>
                </a:solidFill>
              </a:ln>
            </c:spPr>
          </c:marker>
          <c:xVal>
            <c:numRef>
              <c:f>'Propulsion example'!$H$36:$H$64</c:f>
              <c:numCache>
                <c:formatCode>General</c:formatCode>
                <c:ptCount val="29"/>
                <c:pt idx="0">
                  <c:v>500</c:v>
                </c:pt>
                <c:pt idx="1">
                  <c:v>600</c:v>
                </c:pt>
                <c:pt idx="2">
                  <c:v>700</c:v>
                </c:pt>
                <c:pt idx="3">
                  <c:v>800</c:v>
                </c:pt>
                <c:pt idx="4">
                  <c:v>900</c:v>
                </c:pt>
                <c:pt idx="5">
                  <c:v>1000</c:v>
                </c:pt>
                <c:pt idx="6">
                  <c:v>1100</c:v>
                </c:pt>
                <c:pt idx="7">
                  <c:v>1200</c:v>
                </c:pt>
                <c:pt idx="8">
                  <c:v>1300</c:v>
                </c:pt>
                <c:pt idx="9">
                  <c:v>1400</c:v>
                </c:pt>
                <c:pt idx="10">
                  <c:v>1500</c:v>
                </c:pt>
                <c:pt idx="11">
                  <c:v>1600</c:v>
                </c:pt>
                <c:pt idx="12">
                  <c:v>1700</c:v>
                </c:pt>
                <c:pt idx="13">
                  <c:v>1800</c:v>
                </c:pt>
                <c:pt idx="14">
                  <c:v>1900</c:v>
                </c:pt>
                <c:pt idx="15">
                  <c:v>2000</c:v>
                </c:pt>
                <c:pt idx="16">
                  <c:v>2100</c:v>
                </c:pt>
                <c:pt idx="17">
                  <c:v>2200</c:v>
                </c:pt>
                <c:pt idx="18">
                  <c:v>2300</c:v>
                </c:pt>
                <c:pt idx="19">
                  <c:v>2400</c:v>
                </c:pt>
                <c:pt idx="20">
                  <c:v>2500</c:v>
                </c:pt>
                <c:pt idx="21">
                  <c:v>2600</c:v>
                </c:pt>
                <c:pt idx="22">
                  <c:v>2700</c:v>
                </c:pt>
                <c:pt idx="23">
                  <c:v>2800</c:v>
                </c:pt>
                <c:pt idx="24">
                  <c:v>2900</c:v>
                </c:pt>
                <c:pt idx="25">
                  <c:v>3000</c:v>
                </c:pt>
                <c:pt idx="26">
                  <c:v>3100</c:v>
                </c:pt>
                <c:pt idx="27">
                  <c:v>3200</c:v>
                </c:pt>
                <c:pt idx="28">
                  <c:v>3300</c:v>
                </c:pt>
              </c:numCache>
            </c:numRef>
          </c:xVal>
          <c:yVal>
            <c:numRef>
              <c:f>'Propulsion example'!$L$36:$L$64</c:f>
              <c:numCache>
                <c:formatCode>0.0</c:formatCode>
                <c:ptCount val="29"/>
                <c:pt idx="0">
                  <c:v>1.2095538660566065E-4</c:v>
                </c:pt>
                <c:pt idx="1">
                  <c:v>1.2997339410809923E-4</c:v>
                </c:pt>
                <c:pt idx="2">
                  <c:v>1.3701788843153723E-4</c:v>
                </c:pt>
                <c:pt idx="3">
                  <c:v>1.4266248511911851E-4</c:v>
                </c:pt>
                <c:pt idx="4">
                  <c:v>1.4728184517664837E-4</c:v>
                </c:pt>
                <c:pt idx="5">
                  <c:v>1.5112949619598142E-4</c:v>
                </c:pt>
                <c:pt idx="6">
                  <c:v>1.5438250813541477E-4</c:v>
                </c:pt>
                <c:pt idx="7">
                  <c:v>1.5716802223162164E-4</c:v>
                </c:pt>
                <c:pt idx="8">
                  <c:v>1.5957956006415963E-4</c:v>
                </c:pt>
                <c:pt idx="9">
                  <c:v>1.616873805775E-4</c:v>
                </c:pt>
                <c:pt idx="10">
                  <c:v>1.6354525386232937E-4</c:v>
                </c:pt>
                <c:pt idx="11">
                  <c:v>1.6519501009569081E-4</c:v>
                </c:pt>
                <c:pt idx="12">
                  <c:v>1.66669667582874E-4</c:v>
                </c:pt>
                <c:pt idx="13">
                  <c:v>1.6799562988044939E-4</c:v>
                </c:pt>
                <c:pt idx="14">
                  <c:v>1.6919425878229977E-4</c:v>
                </c:pt>
                <c:pt idx="15">
                  <c:v>1.7028302002586491E-4</c:v>
                </c:pt>
                <c:pt idx="16">
                  <c:v>1.7127633089725306E-4</c:v>
                </c:pt>
                <c:pt idx="17">
                  <c:v>1.7218619624949908E-4</c:v>
                </c:pt>
                <c:pt idx="18">
                  <c:v>1.7302269196410911E-4</c:v>
                </c:pt>
                <c:pt idx="19">
                  <c:v>1.7379433682577429E-4</c:v>
                </c:pt>
                <c:pt idx="20">
                  <c:v>1.7450838169393468E-4</c:v>
                </c:pt>
                <c:pt idx="21">
                  <c:v>1.7517103662957495E-4</c:v>
                </c:pt>
                <c:pt idx="22">
                  <c:v>1.7578765095042958E-4</c:v>
                </c:pt>
                <c:pt idx="23">
                  <c:v>1.7636285720148048E-4</c:v>
                </c:pt>
                <c:pt idx="24">
                  <c:v>1.7690068719515442E-4</c:v>
                </c:pt>
                <c:pt idx="25">
                  <c:v>1.7740466623796392E-4</c:v>
                </c:pt>
                <c:pt idx="26">
                  <c:v>1.7787789017748991E-4</c:v>
                </c:pt>
                <c:pt idx="27">
                  <c:v>1.7832308881283543E-4</c:v>
                </c:pt>
                <c:pt idx="28">
                  <c:v>1.7874267840122825E-4</c:v>
                </c:pt>
              </c:numCache>
            </c:numRef>
          </c:yVal>
          <c:smooth val="1"/>
          <c:extLst>
            <c:ext xmlns:c16="http://schemas.microsoft.com/office/drawing/2014/chart" uri="{C3380CC4-5D6E-409C-BE32-E72D297353CC}">
              <c16:uniqueId val="{00000003-CB6B-4389-A147-A3AE64071B7B}"/>
            </c:ext>
          </c:extLst>
        </c:ser>
        <c:dLbls>
          <c:showLegendKey val="0"/>
          <c:showVal val="0"/>
          <c:showCatName val="0"/>
          <c:showSerName val="0"/>
          <c:showPercent val="0"/>
          <c:showBubbleSize val="0"/>
        </c:dLbls>
        <c:axId val="75479296"/>
        <c:axId val="75476352"/>
      </c:scatterChart>
      <c:valAx>
        <c:axId val="75356032"/>
        <c:scaling>
          <c:orientation val="minMax"/>
        </c:scaling>
        <c:delete val="0"/>
        <c:axPos val="b"/>
        <c:title>
          <c:tx>
            <c:rich>
              <a:bodyPr/>
              <a:lstStyle/>
              <a:p>
                <a:pPr>
                  <a:defRPr/>
                </a:pPr>
                <a:r>
                  <a:rPr lang="en-US"/>
                  <a:t>ISP (s)</a:t>
                </a:r>
              </a:p>
            </c:rich>
          </c:tx>
          <c:layout/>
          <c:overlay val="0"/>
        </c:title>
        <c:numFmt formatCode="General" sourceLinked="1"/>
        <c:majorTickMark val="out"/>
        <c:minorTickMark val="none"/>
        <c:tickLblPos val="nextTo"/>
        <c:crossAx val="75474432"/>
        <c:crosses val="autoZero"/>
        <c:crossBetween val="midCat"/>
      </c:valAx>
      <c:valAx>
        <c:axId val="75474432"/>
        <c:scaling>
          <c:orientation val="minMax"/>
        </c:scaling>
        <c:delete val="0"/>
        <c:axPos val="l"/>
        <c:majorGridlines/>
        <c:title>
          <c:tx>
            <c:rich>
              <a:bodyPr rot="-5400000" vert="horz"/>
              <a:lstStyle/>
              <a:p>
                <a:pPr>
                  <a:defRPr/>
                </a:pPr>
                <a:r>
                  <a:rPr lang="en-US"/>
                  <a:t>Mass (kg)</a:t>
                </a:r>
              </a:p>
            </c:rich>
          </c:tx>
          <c:layout/>
          <c:overlay val="0"/>
        </c:title>
        <c:numFmt formatCode="0.0" sourceLinked="1"/>
        <c:majorTickMark val="out"/>
        <c:minorTickMark val="none"/>
        <c:tickLblPos val="nextTo"/>
        <c:crossAx val="75356032"/>
        <c:crosses val="autoZero"/>
        <c:crossBetween val="midCat"/>
      </c:valAx>
      <c:valAx>
        <c:axId val="75476352"/>
        <c:scaling>
          <c:orientation val="minMax"/>
        </c:scaling>
        <c:delete val="0"/>
        <c:axPos val="r"/>
        <c:title>
          <c:tx>
            <c:rich>
              <a:bodyPr rot="-5400000" vert="horz"/>
              <a:lstStyle/>
              <a:p>
                <a:pPr>
                  <a:defRPr>
                    <a:solidFill>
                      <a:srgbClr val="FF0000"/>
                    </a:solidFill>
                  </a:defRPr>
                </a:pPr>
                <a:r>
                  <a:rPr lang="en-US">
                    <a:solidFill>
                      <a:srgbClr val="FF0000"/>
                    </a:solidFill>
                  </a:rPr>
                  <a:t>Power (Watts)</a:t>
                </a:r>
              </a:p>
            </c:rich>
          </c:tx>
          <c:layout/>
          <c:overlay val="0"/>
        </c:title>
        <c:numFmt formatCode="0.0" sourceLinked="1"/>
        <c:majorTickMark val="out"/>
        <c:minorTickMark val="none"/>
        <c:tickLblPos val="nextTo"/>
        <c:txPr>
          <a:bodyPr/>
          <a:lstStyle/>
          <a:p>
            <a:pPr>
              <a:defRPr>
                <a:solidFill>
                  <a:srgbClr val="FF0000"/>
                </a:solidFill>
              </a:defRPr>
            </a:pPr>
            <a:endParaRPr lang="en-US"/>
          </a:p>
        </c:txPr>
        <c:crossAx val="75479296"/>
        <c:crosses val="max"/>
        <c:crossBetween val="midCat"/>
      </c:valAx>
      <c:valAx>
        <c:axId val="75479296"/>
        <c:scaling>
          <c:orientation val="minMax"/>
        </c:scaling>
        <c:delete val="1"/>
        <c:axPos val="b"/>
        <c:numFmt formatCode="General" sourceLinked="1"/>
        <c:majorTickMark val="out"/>
        <c:minorTickMark val="none"/>
        <c:tickLblPos val="nextTo"/>
        <c:crossAx val="75476352"/>
        <c:crosses val="autoZero"/>
        <c:crossBetween val="midCat"/>
      </c:valAx>
    </c:plotArea>
    <c:legend>
      <c:legendPos val="l"/>
      <c:layout>
        <c:manualLayout>
          <c:xMode val="edge"/>
          <c:yMode val="edge"/>
          <c:x val="0.14002185774275394"/>
          <c:y val="0.14396073413522778"/>
          <c:w val="0.19081758235094576"/>
          <c:h val="0.24140717573850157"/>
        </c:manualLayout>
      </c:layout>
      <c:overlay val="1"/>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Electric Propulsion Burn Time Variation</a:t>
            </a:r>
          </a:p>
        </c:rich>
      </c:tx>
      <c:layout/>
      <c:overlay val="0"/>
    </c:title>
    <c:autoTitleDeleted val="0"/>
    <c:plotArea>
      <c:layout/>
      <c:scatterChart>
        <c:scatterStyle val="smoothMarker"/>
        <c:varyColors val="0"/>
        <c:ser>
          <c:idx val="0"/>
          <c:order val="0"/>
          <c:tx>
            <c:strRef>
              <c:f>'Propulsion example'!$P$34:$P$35</c:f>
              <c:strCache>
                <c:ptCount val="2"/>
                <c:pt idx="0">
                  <c:v>Mp</c:v>
                </c:pt>
                <c:pt idx="1">
                  <c:v>I25</c:v>
                </c:pt>
              </c:strCache>
            </c:strRef>
          </c:tx>
          <c:marker>
            <c:symbol val="none"/>
          </c:marker>
          <c:xVal>
            <c:numRef>
              <c:f>'Propulsion example'!$O$36:$O$64</c:f>
              <c:numCache>
                <c:formatCode>General</c:formatCode>
                <c:ptCount val="29"/>
                <c:pt idx="0">
                  <c:v>150</c:v>
                </c:pt>
                <c:pt idx="1">
                  <c:v>160</c:v>
                </c:pt>
                <c:pt idx="2">
                  <c:v>170</c:v>
                </c:pt>
                <c:pt idx="3">
                  <c:v>180</c:v>
                </c:pt>
                <c:pt idx="4">
                  <c:v>190</c:v>
                </c:pt>
                <c:pt idx="5">
                  <c:v>200</c:v>
                </c:pt>
                <c:pt idx="6">
                  <c:v>210</c:v>
                </c:pt>
                <c:pt idx="7">
                  <c:v>220</c:v>
                </c:pt>
                <c:pt idx="8">
                  <c:v>230</c:v>
                </c:pt>
                <c:pt idx="9">
                  <c:v>240</c:v>
                </c:pt>
                <c:pt idx="10">
                  <c:v>250</c:v>
                </c:pt>
                <c:pt idx="11">
                  <c:v>260</c:v>
                </c:pt>
                <c:pt idx="12">
                  <c:v>270</c:v>
                </c:pt>
                <c:pt idx="13">
                  <c:v>280</c:v>
                </c:pt>
                <c:pt idx="14">
                  <c:v>290</c:v>
                </c:pt>
                <c:pt idx="15">
                  <c:v>300</c:v>
                </c:pt>
                <c:pt idx="16">
                  <c:v>310</c:v>
                </c:pt>
                <c:pt idx="17">
                  <c:v>320</c:v>
                </c:pt>
                <c:pt idx="18">
                  <c:v>330</c:v>
                </c:pt>
                <c:pt idx="19">
                  <c:v>340</c:v>
                </c:pt>
                <c:pt idx="20">
                  <c:v>350</c:v>
                </c:pt>
                <c:pt idx="21">
                  <c:v>360</c:v>
                </c:pt>
                <c:pt idx="22">
                  <c:v>370</c:v>
                </c:pt>
                <c:pt idx="23">
                  <c:v>380</c:v>
                </c:pt>
                <c:pt idx="24">
                  <c:v>390</c:v>
                </c:pt>
                <c:pt idx="25">
                  <c:v>400</c:v>
                </c:pt>
                <c:pt idx="26">
                  <c:v>410</c:v>
                </c:pt>
                <c:pt idx="27">
                  <c:v>420</c:v>
                </c:pt>
                <c:pt idx="28">
                  <c:v>430</c:v>
                </c:pt>
              </c:numCache>
            </c:numRef>
          </c:xVal>
          <c:yVal>
            <c:numRef>
              <c:f>'Propulsion example'!$P$36:$P$64</c:f>
              <c:numCache>
                <c:formatCode>0.0</c:formatCode>
                <c:ptCount val="29"/>
                <c:pt idx="0">
                  <c:v>1.9890243547185975</c:v>
                </c:pt>
                <c:pt idx="1">
                  <c:v>1.9776146391764264</c:v>
                </c:pt>
                <c:pt idx="2">
                  <c:v>1.9676554015216676</c:v>
                </c:pt>
                <c:pt idx="3">
                  <c:v>1.9588865806921654</c:v>
                </c:pt>
                <c:pt idx="4">
                  <c:v>1.9511067792566184</c:v>
                </c:pt>
                <c:pt idx="5">
                  <c:v>1.944157605042985</c:v>
                </c:pt>
                <c:pt idx="6">
                  <c:v>1.9379127739946282</c:v>
                </c:pt>
                <c:pt idx="7">
                  <c:v>1.9322703666897774</c:v>
                </c:pt>
                <c:pt idx="8">
                  <c:v>1.9271472227280568</c:v>
                </c:pt>
                <c:pt idx="9">
                  <c:v>1.9224748146682056</c:v>
                </c:pt>
                <c:pt idx="10">
                  <c:v>1.9181961651144865</c:v>
                </c:pt>
                <c:pt idx="11">
                  <c:v>1.9142635117093345</c:v>
                </c:pt>
                <c:pt idx="12">
                  <c:v>1.9106365165784973</c:v>
                </c:pt>
                <c:pt idx="13">
                  <c:v>1.9072808776610712</c:v>
                </c:pt>
                <c:pt idx="14">
                  <c:v>1.9041672404835579</c:v>
                </c:pt>
                <c:pt idx="15">
                  <c:v>1.901270337181423</c:v>
                </c:pt>
                <c:pt idx="16">
                  <c:v>1.8985682992664263</c:v>
                </c:pt>
                <c:pt idx="17">
                  <c:v>1.8960421045651246</c:v>
                </c:pt>
                <c:pt idx="18">
                  <c:v>1.8936751287310567</c:v>
                </c:pt>
                <c:pt idx="19">
                  <c:v>1.8914527789669302</c:v>
                </c:pt>
                <c:pt idx="20">
                  <c:v>1.8893621928969278</c:v>
                </c:pt>
                <c:pt idx="21">
                  <c:v>1.8873919894587015</c:v>
                </c:pt>
                <c:pt idx="22">
                  <c:v>1.8855320616243492</c:v>
                </c:pt>
                <c:pt idx="23">
                  <c:v>1.8837734029791235</c:v>
                </c:pt>
                <c:pt idx="24">
                  <c:v>1.8821079618766783</c:v>
                </c:pt>
                <c:pt idx="25">
                  <c:v>1.8805285181870188</c:v>
                </c:pt>
                <c:pt idx="26">
                  <c:v>1.8790285786567971</c:v>
                </c:pt>
                <c:pt idx="27">
                  <c:v>1.8776022876833545</c:v>
                </c:pt>
                <c:pt idx="28">
                  <c:v>1.8762443509170792</c:v>
                </c:pt>
              </c:numCache>
            </c:numRef>
          </c:yVal>
          <c:smooth val="1"/>
          <c:extLst>
            <c:ext xmlns:c16="http://schemas.microsoft.com/office/drawing/2014/chart" uri="{C3380CC4-5D6E-409C-BE32-E72D297353CC}">
              <c16:uniqueId val="{00000000-9389-42CA-A36F-6B1CE19CBC86}"/>
            </c:ext>
          </c:extLst>
        </c:ser>
        <c:ser>
          <c:idx val="1"/>
          <c:order val="1"/>
          <c:tx>
            <c:strRef>
              <c:f>'Propulsion example'!$Q$34:$Q$35</c:f>
              <c:strCache>
                <c:ptCount val="2"/>
                <c:pt idx="0">
                  <c:v>Mw</c:v>
                </c:pt>
                <c:pt idx="1">
                  <c:v>I26</c:v>
                </c:pt>
              </c:strCache>
            </c:strRef>
          </c:tx>
          <c:marker>
            <c:symbol val="none"/>
          </c:marker>
          <c:xVal>
            <c:numRef>
              <c:f>'Propulsion example'!$O$36:$O$64</c:f>
              <c:numCache>
                <c:formatCode>General</c:formatCode>
                <c:ptCount val="29"/>
                <c:pt idx="0">
                  <c:v>150</c:v>
                </c:pt>
                <c:pt idx="1">
                  <c:v>160</c:v>
                </c:pt>
                <c:pt idx="2">
                  <c:v>170</c:v>
                </c:pt>
                <c:pt idx="3">
                  <c:v>180</c:v>
                </c:pt>
                <c:pt idx="4">
                  <c:v>190</c:v>
                </c:pt>
                <c:pt idx="5">
                  <c:v>200</c:v>
                </c:pt>
                <c:pt idx="6">
                  <c:v>210</c:v>
                </c:pt>
                <c:pt idx="7">
                  <c:v>220</c:v>
                </c:pt>
                <c:pt idx="8">
                  <c:v>230</c:v>
                </c:pt>
                <c:pt idx="9">
                  <c:v>240</c:v>
                </c:pt>
                <c:pt idx="10">
                  <c:v>250</c:v>
                </c:pt>
                <c:pt idx="11">
                  <c:v>260</c:v>
                </c:pt>
                <c:pt idx="12">
                  <c:v>270</c:v>
                </c:pt>
                <c:pt idx="13">
                  <c:v>280</c:v>
                </c:pt>
                <c:pt idx="14">
                  <c:v>290</c:v>
                </c:pt>
                <c:pt idx="15">
                  <c:v>300</c:v>
                </c:pt>
                <c:pt idx="16">
                  <c:v>310</c:v>
                </c:pt>
                <c:pt idx="17">
                  <c:v>320</c:v>
                </c:pt>
                <c:pt idx="18">
                  <c:v>330</c:v>
                </c:pt>
                <c:pt idx="19">
                  <c:v>340</c:v>
                </c:pt>
                <c:pt idx="20">
                  <c:v>350</c:v>
                </c:pt>
                <c:pt idx="21">
                  <c:v>360</c:v>
                </c:pt>
                <c:pt idx="22">
                  <c:v>370</c:v>
                </c:pt>
                <c:pt idx="23">
                  <c:v>380</c:v>
                </c:pt>
                <c:pt idx="24">
                  <c:v>390</c:v>
                </c:pt>
                <c:pt idx="25">
                  <c:v>400</c:v>
                </c:pt>
                <c:pt idx="26">
                  <c:v>410</c:v>
                </c:pt>
                <c:pt idx="27">
                  <c:v>420</c:v>
                </c:pt>
                <c:pt idx="28">
                  <c:v>430</c:v>
                </c:pt>
              </c:numCache>
            </c:numRef>
          </c:xVal>
          <c:yVal>
            <c:numRef>
              <c:f>'Propulsion example'!$Q$36:$Q$64</c:f>
              <c:numCache>
                <c:formatCode>0.0</c:formatCode>
                <c:ptCount val="29"/>
                <c:pt idx="0">
                  <c:v>0.41539918989395491</c:v>
                </c:pt>
                <c:pt idx="1">
                  <c:v>0.38720279983977557</c:v>
                </c:pt>
                <c:pt idx="2">
                  <c:v>0.36259091985749725</c:v>
                </c:pt>
                <c:pt idx="3">
                  <c:v>0.34092087107231867</c:v>
                </c:pt>
                <c:pt idx="4">
                  <c:v>0.32169494777826524</c:v>
                </c:pt>
                <c:pt idx="5">
                  <c:v>0.30452172150826368</c:v>
                </c:pt>
                <c:pt idx="6">
                  <c:v>0.2890891113427338</c:v>
                </c:pt>
                <c:pt idx="7">
                  <c:v>0.27514524774472376</c:v>
                </c:pt>
                <c:pt idx="8">
                  <c:v>0.26248461962349912</c:v>
                </c:pt>
                <c:pt idx="9">
                  <c:v>0.25093787775592846</c:v>
                </c:pt>
                <c:pt idx="10">
                  <c:v>0.24036421610100814</c:v>
                </c:pt>
                <c:pt idx="11">
                  <c:v>0.23064560138623136</c:v>
                </c:pt>
                <c:pt idx="12">
                  <c:v>0.22168234817840943</c:v>
                </c:pt>
                <c:pt idx="13">
                  <c:v>0.21338968711713938</c:v>
                </c:pt>
                <c:pt idx="14">
                  <c:v>0.20569507562398948</c:v>
                </c:pt>
                <c:pt idx="15">
                  <c:v>0.19853607019968009</c:v>
                </c:pt>
                <c:pt idx="16">
                  <c:v>0.19185862809248336</c:v>
                </c:pt>
                <c:pt idx="17">
                  <c:v>0.18561574053867572</c:v>
                </c:pt>
                <c:pt idx="18">
                  <c:v>0.179766324431892</c:v>
                </c:pt>
                <c:pt idx="19">
                  <c:v>0.17427431715488992</c:v>
                </c:pt>
                <c:pt idx="20">
                  <c:v>0.1691079324142932</c:v>
                </c:pt>
                <c:pt idx="21">
                  <c:v>0.1642390446295813</c:v>
                </c:pt>
                <c:pt idx="22">
                  <c:v>0.15964267669243301</c:v>
                </c:pt>
                <c:pt idx="23">
                  <c:v>0.15529657139737463</c:v>
                </c:pt>
                <c:pt idx="24">
                  <c:v>0.15118083102126756</c:v>
                </c:pt>
                <c:pt idx="25">
                  <c:v>0.14727761273526838</c:v>
                </c:pt>
                <c:pt idx="26">
                  <c:v>0.14357087001276153</c:v>
                </c:pt>
                <c:pt idx="27">
                  <c:v>0.14004613212869241</c:v>
                </c:pt>
                <c:pt idx="28">
                  <c:v>0.13669031536101858</c:v>
                </c:pt>
              </c:numCache>
            </c:numRef>
          </c:yVal>
          <c:smooth val="1"/>
          <c:extLst>
            <c:ext xmlns:c16="http://schemas.microsoft.com/office/drawing/2014/chart" uri="{C3380CC4-5D6E-409C-BE32-E72D297353CC}">
              <c16:uniqueId val="{00000001-9389-42CA-A36F-6B1CE19CBC86}"/>
            </c:ext>
          </c:extLst>
        </c:ser>
        <c:ser>
          <c:idx val="2"/>
          <c:order val="2"/>
          <c:tx>
            <c:strRef>
              <c:f>'Propulsion example'!$R$34:$R$35</c:f>
              <c:strCache>
                <c:ptCount val="2"/>
                <c:pt idx="0">
                  <c:v>Total M</c:v>
                </c:pt>
                <c:pt idx="1">
                  <c:v>I27</c:v>
                </c:pt>
              </c:strCache>
            </c:strRef>
          </c:tx>
          <c:marker>
            <c:symbol val="none"/>
          </c:marker>
          <c:xVal>
            <c:numRef>
              <c:f>'Propulsion example'!$O$36:$O$64</c:f>
              <c:numCache>
                <c:formatCode>General</c:formatCode>
                <c:ptCount val="29"/>
                <c:pt idx="0">
                  <c:v>150</c:v>
                </c:pt>
                <c:pt idx="1">
                  <c:v>160</c:v>
                </c:pt>
                <c:pt idx="2">
                  <c:v>170</c:v>
                </c:pt>
                <c:pt idx="3">
                  <c:v>180</c:v>
                </c:pt>
                <c:pt idx="4">
                  <c:v>190</c:v>
                </c:pt>
                <c:pt idx="5">
                  <c:v>200</c:v>
                </c:pt>
                <c:pt idx="6">
                  <c:v>210</c:v>
                </c:pt>
                <c:pt idx="7">
                  <c:v>220</c:v>
                </c:pt>
                <c:pt idx="8">
                  <c:v>230</c:v>
                </c:pt>
                <c:pt idx="9">
                  <c:v>240</c:v>
                </c:pt>
                <c:pt idx="10">
                  <c:v>250</c:v>
                </c:pt>
                <c:pt idx="11">
                  <c:v>260</c:v>
                </c:pt>
                <c:pt idx="12">
                  <c:v>270</c:v>
                </c:pt>
                <c:pt idx="13">
                  <c:v>280</c:v>
                </c:pt>
                <c:pt idx="14">
                  <c:v>290</c:v>
                </c:pt>
                <c:pt idx="15">
                  <c:v>300</c:v>
                </c:pt>
                <c:pt idx="16">
                  <c:v>310</c:v>
                </c:pt>
                <c:pt idx="17">
                  <c:v>320</c:v>
                </c:pt>
                <c:pt idx="18">
                  <c:v>330</c:v>
                </c:pt>
                <c:pt idx="19">
                  <c:v>340</c:v>
                </c:pt>
                <c:pt idx="20">
                  <c:v>350</c:v>
                </c:pt>
                <c:pt idx="21">
                  <c:v>360</c:v>
                </c:pt>
                <c:pt idx="22">
                  <c:v>370</c:v>
                </c:pt>
                <c:pt idx="23">
                  <c:v>380</c:v>
                </c:pt>
                <c:pt idx="24">
                  <c:v>390</c:v>
                </c:pt>
                <c:pt idx="25">
                  <c:v>400</c:v>
                </c:pt>
                <c:pt idx="26">
                  <c:v>410</c:v>
                </c:pt>
                <c:pt idx="27">
                  <c:v>420</c:v>
                </c:pt>
                <c:pt idx="28">
                  <c:v>430</c:v>
                </c:pt>
              </c:numCache>
            </c:numRef>
          </c:xVal>
          <c:yVal>
            <c:numRef>
              <c:f>'Propulsion example'!$R$36:$R$64</c:f>
              <c:numCache>
                <c:formatCode>0.0</c:formatCode>
                <c:ptCount val="29"/>
                <c:pt idx="0">
                  <c:v>6.9044235446125519</c:v>
                </c:pt>
                <c:pt idx="1">
                  <c:v>6.8648174390162016</c:v>
                </c:pt>
                <c:pt idx="2">
                  <c:v>6.8302463213791658</c:v>
                </c:pt>
                <c:pt idx="3">
                  <c:v>6.799807451764484</c:v>
                </c:pt>
                <c:pt idx="4">
                  <c:v>6.7728017270348841</c:v>
                </c:pt>
                <c:pt idx="5">
                  <c:v>6.7486793265512492</c:v>
                </c:pt>
                <c:pt idx="6">
                  <c:v>6.7270018853373621</c:v>
                </c:pt>
                <c:pt idx="7">
                  <c:v>6.7074156144345007</c:v>
                </c:pt>
                <c:pt idx="8">
                  <c:v>6.6896318423515559</c:v>
                </c:pt>
                <c:pt idx="9">
                  <c:v>6.6734126924241348</c:v>
                </c:pt>
                <c:pt idx="10">
                  <c:v>6.6585603812154943</c:v>
                </c:pt>
                <c:pt idx="11">
                  <c:v>6.644909113095566</c:v>
                </c:pt>
                <c:pt idx="12">
                  <c:v>6.6323188647569067</c:v>
                </c:pt>
                <c:pt idx="13">
                  <c:v>6.6206705647782105</c:v>
                </c:pt>
                <c:pt idx="14">
                  <c:v>6.6098623161075469</c:v>
                </c:pt>
                <c:pt idx="15">
                  <c:v>6.5998064073811022</c:v>
                </c:pt>
                <c:pt idx="16">
                  <c:v>6.5904269273589096</c:v>
                </c:pt>
                <c:pt idx="17">
                  <c:v>6.5816578451038001</c:v>
                </c:pt>
                <c:pt idx="18">
                  <c:v>6.5734414531629488</c:v>
                </c:pt>
                <c:pt idx="19">
                  <c:v>6.5657270961218197</c:v>
                </c:pt>
                <c:pt idx="20">
                  <c:v>6.5584701253112208</c:v>
                </c:pt>
                <c:pt idx="21">
                  <c:v>6.5516310340882828</c:v>
                </c:pt>
                <c:pt idx="22">
                  <c:v>6.5451747383167822</c:v>
                </c:pt>
                <c:pt idx="23">
                  <c:v>6.5390699743764982</c:v>
                </c:pt>
                <c:pt idx="24">
                  <c:v>6.5332887928979462</c:v>
                </c:pt>
                <c:pt idx="25">
                  <c:v>6.5278061309222872</c:v>
                </c:pt>
                <c:pt idx="26">
                  <c:v>6.5225994486695589</c:v>
                </c:pt>
                <c:pt idx="27">
                  <c:v>6.5176484198120468</c:v>
                </c:pt>
                <c:pt idx="28">
                  <c:v>6.512934666278098</c:v>
                </c:pt>
              </c:numCache>
            </c:numRef>
          </c:yVal>
          <c:smooth val="1"/>
          <c:extLst>
            <c:ext xmlns:c16="http://schemas.microsoft.com/office/drawing/2014/chart" uri="{C3380CC4-5D6E-409C-BE32-E72D297353CC}">
              <c16:uniqueId val="{00000002-9389-42CA-A36F-6B1CE19CBC86}"/>
            </c:ext>
          </c:extLst>
        </c:ser>
        <c:dLbls>
          <c:showLegendKey val="0"/>
          <c:showVal val="0"/>
          <c:showCatName val="0"/>
          <c:showSerName val="0"/>
          <c:showPercent val="0"/>
          <c:showBubbleSize val="0"/>
        </c:dLbls>
        <c:axId val="77530240"/>
        <c:axId val="77545472"/>
      </c:scatterChart>
      <c:scatterChart>
        <c:scatterStyle val="smoothMarker"/>
        <c:varyColors val="0"/>
        <c:ser>
          <c:idx val="3"/>
          <c:order val="3"/>
          <c:tx>
            <c:strRef>
              <c:f>'Propulsion example'!$S$34:$S$35</c:f>
              <c:strCache>
                <c:ptCount val="2"/>
                <c:pt idx="0">
                  <c:v>Power</c:v>
                </c:pt>
                <c:pt idx="1">
                  <c:v>I30</c:v>
                </c:pt>
              </c:strCache>
            </c:strRef>
          </c:tx>
          <c:spPr>
            <a:ln>
              <a:solidFill>
                <a:srgbClr val="FF0000"/>
              </a:solidFill>
            </a:ln>
          </c:spPr>
          <c:marker>
            <c:symbol val="circle"/>
            <c:size val="5"/>
            <c:spPr>
              <a:solidFill>
                <a:srgbClr val="FF0000"/>
              </a:solidFill>
              <a:ln>
                <a:solidFill>
                  <a:schemeClr val="tx1"/>
                </a:solidFill>
              </a:ln>
            </c:spPr>
          </c:marker>
          <c:xVal>
            <c:numRef>
              <c:f>'Propulsion example'!$O$36:$O$64</c:f>
              <c:numCache>
                <c:formatCode>General</c:formatCode>
                <c:ptCount val="29"/>
                <c:pt idx="0">
                  <c:v>150</c:v>
                </c:pt>
                <c:pt idx="1">
                  <c:v>160</c:v>
                </c:pt>
                <c:pt idx="2">
                  <c:v>170</c:v>
                </c:pt>
                <c:pt idx="3">
                  <c:v>180</c:v>
                </c:pt>
                <c:pt idx="4">
                  <c:v>190</c:v>
                </c:pt>
                <c:pt idx="5">
                  <c:v>200</c:v>
                </c:pt>
                <c:pt idx="6">
                  <c:v>210</c:v>
                </c:pt>
                <c:pt idx="7">
                  <c:v>220</c:v>
                </c:pt>
                <c:pt idx="8">
                  <c:v>230</c:v>
                </c:pt>
                <c:pt idx="9">
                  <c:v>240</c:v>
                </c:pt>
                <c:pt idx="10">
                  <c:v>250</c:v>
                </c:pt>
                <c:pt idx="11">
                  <c:v>260</c:v>
                </c:pt>
                <c:pt idx="12">
                  <c:v>270</c:v>
                </c:pt>
                <c:pt idx="13">
                  <c:v>280</c:v>
                </c:pt>
                <c:pt idx="14">
                  <c:v>290</c:v>
                </c:pt>
                <c:pt idx="15">
                  <c:v>300</c:v>
                </c:pt>
                <c:pt idx="16">
                  <c:v>310</c:v>
                </c:pt>
                <c:pt idx="17">
                  <c:v>320</c:v>
                </c:pt>
                <c:pt idx="18">
                  <c:v>330</c:v>
                </c:pt>
                <c:pt idx="19">
                  <c:v>340</c:v>
                </c:pt>
                <c:pt idx="20">
                  <c:v>350</c:v>
                </c:pt>
                <c:pt idx="21">
                  <c:v>360</c:v>
                </c:pt>
                <c:pt idx="22">
                  <c:v>370</c:v>
                </c:pt>
                <c:pt idx="23">
                  <c:v>380</c:v>
                </c:pt>
                <c:pt idx="24">
                  <c:v>390</c:v>
                </c:pt>
                <c:pt idx="25">
                  <c:v>400</c:v>
                </c:pt>
                <c:pt idx="26">
                  <c:v>410</c:v>
                </c:pt>
                <c:pt idx="27">
                  <c:v>420</c:v>
                </c:pt>
                <c:pt idx="28">
                  <c:v>430</c:v>
                </c:pt>
              </c:numCache>
            </c:numRef>
          </c:xVal>
          <c:yVal>
            <c:numRef>
              <c:f>'Propulsion example'!$S$36:$S$64</c:f>
              <c:numCache>
                <c:formatCode>0.0</c:formatCode>
                <c:ptCount val="29"/>
                <c:pt idx="0">
                  <c:v>3.2709050772465874E-4</c:v>
                </c:pt>
                <c:pt idx="1">
                  <c:v>3.0664735099186758E-4</c:v>
                </c:pt>
                <c:pt idx="2">
                  <c:v>2.8860927152175766E-4</c:v>
                </c:pt>
                <c:pt idx="3">
                  <c:v>2.7257542310388228E-4</c:v>
                </c:pt>
                <c:pt idx="4">
                  <c:v>2.5822934820367787E-4</c:v>
                </c:pt>
                <c:pt idx="5">
                  <c:v>2.4531788079349402E-4</c:v>
                </c:pt>
                <c:pt idx="6">
                  <c:v>2.3363607694618476E-4</c:v>
                </c:pt>
                <c:pt idx="7">
                  <c:v>2.2301625526681277E-4</c:v>
                </c:pt>
                <c:pt idx="8">
                  <c:v>2.1331989634216871E-4</c:v>
                </c:pt>
                <c:pt idx="9">
                  <c:v>2.0443156732791171E-4</c:v>
                </c:pt>
                <c:pt idx="10">
                  <c:v>1.9625430463479521E-4</c:v>
                </c:pt>
                <c:pt idx="11">
                  <c:v>1.8870606214884157E-4</c:v>
                </c:pt>
                <c:pt idx="12">
                  <c:v>1.8171694873592151E-4</c:v>
                </c:pt>
                <c:pt idx="13">
                  <c:v>1.752270577096386E-4</c:v>
                </c:pt>
                <c:pt idx="14">
                  <c:v>1.6918474537482351E-4</c:v>
                </c:pt>
                <c:pt idx="15">
                  <c:v>1.6354525386232937E-4</c:v>
                </c:pt>
                <c:pt idx="16">
                  <c:v>1.5826960051193166E-4</c:v>
                </c:pt>
                <c:pt idx="17">
                  <c:v>1.5332367549593376E-4</c:v>
                </c:pt>
                <c:pt idx="18">
                  <c:v>1.4867750351120848E-4</c:v>
                </c:pt>
                <c:pt idx="19">
                  <c:v>1.4430463576087886E-4</c:v>
                </c:pt>
                <c:pt idx="20">
                  <c:v>1.4018164616771088E-4</c:v>
                </c:pt>
                <c:pt idx="21">
                  <c:v>1.3628771155194114E-4</c:v>
                </c:pt>
                <c:pt idx="22">
                  <c:v>1.3260425988837515E-4</c:v>
                </c:pt>
                <c:pt idx="23">
                  <c:v>1.2911467410183896E-4</c:v>
                </c:pt>
                <c:pt idx="24">
                  <c:v>1.2580404143256105E-4</c:v>
                </c:pt>
                <c:pt idx="25">
                  <c:v>1.2265894039674701E-4</c:v>
                </c:pt>
                <c:pt idx="26">
                  <c:v>1.1966725892365563E-4</c:v>
                </c:pt>
                <c:pt idx="27">
                  <c:v>1.1681803847309241E-4</c:v>
                </c:pt>
                <c:pt idx="28">
                  <c:v>1.1410133990395071E-4</c:v>
                </c:pt>
              </c:numCache>
            </c:numRef>
          </c:yVal>
          <c:smooth val="1"/>
          <c:extLst>
            <c:ext xmlns:c16="http://schemas.microsoft.com/office/drawing/2014/chart" uri="{C3380CC4-5D6E-409C-BE32-E72D297353CC}">
              <c16:uniqueId val="{00000003-9389-42CA-A36F-6B1CE19CBC86}"/>
            </c:ext>
          </c:extLst>
        </c:ser>
        <c:dLbls>
          <c:showLegendKey val="0"/>
          <c:showVal val="0"/>
          <c:showCatName val="0"/>
          <c:showSerName val="0"/>
          <c:showPercent val="0"/>
          <c:showBubbleSize val="0"/>
        </c:dLbls>
        <c:axId val="77914880"/>
        <c:axId val="77547392"/>
      </c:scatterChart>
      <c:valAx>
        <c:axId val="77530240"/>
        <c:scaling>
          <c:orientation val="minMax"/>
          <c:max val="450"/>
          <c:min val="150"/>
        </c:scaling>
        <c:delete val="0"/>
        <c:axPos val="b"/>
        <c:title>
          <c:tx>
            <c:rich>
              <a:bodyPr/>
              <a:lstStyle/>
              <a:p>
                <a:pPr>
                  <a:defRPr/>
                </a:pPr>
                <a:r>
                  <a:rPr lang="en-US"/>
                  <a:t>Burn Time (Days)</a:t>
                </a:r>
              </a:p>
            </c:rich>
          </c:tx>
          <c:layout/>
          <c:overlay val="0"/>
        </c:title>
        <c:numFmt formatCode="General" sourceLinked="1"/>
        <c:majorTickMark val="out"/>
        <c:minorTickMark val="none"/>
        <c:tickLblPos val="nextTo"/>
        <c:crossAx val="77545472"/>
        <c:crosses val="autoZero"/>
        <c:crossBetween val="midCat"/>
      </c:valAx>
      <c:valAx>
        <c:axId val="77545472"/>
        <c:scaling>
          <c:orientation val="minMax"/>
        </c:scaling>
        <c:delete val="0"/>
        <c:axPos val="l"/>
        <c:majorGridlines/>
        <c:title>
          <c:tx>
            <c:rich>
              <a:bodyPr rot="-5400000" vert="horz"/>
              <a:lstStyle/>
              <a:p>
                <a:pPr>
                  <a:defRPr/>
                </a:pPr>
                <a:r>
                  <a:rPr lang="en-US"/>
                  <a:t>Mass (kg)</a:t>
                </a:r>
              </a:p>
            </c:rich>
          </c:tx>
          <c:layout/>
          <c:overlay val="0"/>
        </c:title>
        <c:numFmt formatCode="0.0" sourceLinked="1"/>
        <c:majorTickMark val="out"/>
        <c:minorTickMark val="none"/>
        <c:tickLblPos val="nextTo"/>
        <c:crossAx val="77530240"/>
        <c:crosses val="autoZero"/>
        <c:crossBetween val="midCat"/>
      </c:valAx>
      <c:valAx>
        <c:axId val="77547392"/>
        <c:scaling>
          <c:orientation val="minMax"/>
        </c:scaling>
        <c:delete val="0"/>
        <c:axPos val="r"/>
        <c:title>
          <c:tx>
            <c:rich>
              <a:bodyPr rot="-5400000" vert="horz"/>
              <a:lstStyle/>
              <a:p>
                <a:pPr>
                  <a:defRPr>
                    <a:solidFill>
                      <a:srgbClr val="FF0000"/>
                    </a:solidFill>
                  </a:defRPr>
                </a:pPr>
                <a:r>
                  <a:rPr lang="en-US">
                    <a:solidFill>
                      <a:srgbClr val="FF0000"/>
                    </a:solidFill>
                  </a:rPr>
                  <a:t>Power (Watts)</a:t>
                </a:r>
              </a:p>
            </c:rich>
          </c:tx>
          <c:layout/>
          <c:overlay val="0"/>
        </c:title>
        <c:numFmt formatCode="0.0" sourceLinked="1"/>
        <c:majorTickMark val="out"/>
        <c:minorTickMark val="none"/>
        <c:tickLblPos val="nextTo"/>
        <c:txPr>
          <a:bodyPr/>
          <a:lstStyle/>
          <a:p>
            <a:pPr>
              <a:defRPr>
                <a:solidFill>
                  <a:srgbClr val="FF0000"/>
                </a:solidFill>
              </a:defRPr>
            </a:pPr>
            <a:endParaRPr lang="en-US"/>
          </a:p>
        </c:txPr>
        <c:crossAx val="77914880"/>
        <c:crosses val="max"/>
        <c:crossBetween val="midCat"/>
      </c:valAx>
      <c:valAx>
        <c:axId val="77914880"/>
        <c:scaling>
          <c:orientation val="minMax"/>
        </c:scaling>
        <c:delete val="1"/>
        <c:axPos val="b"/>
        <c:numFmt formatCode="General" sourceLinked="1"/>
        <c:majorTickMark val="out"/>
        <c:minorTickMark val="none"/>
        <c:tickLblPos val="nextTo"/>
        <c:crossAx val="77547392"/>
        <c:crosses val="autoZero"/>
        <c:crossBetween val="midCat"/>
      </c:valAx>
    </c:plotArea>
    <c:legend>
      <c:legendPos val="l"/>
      <c:layout>
        <c:manualLayout>
          <c:xMode val="edge"/>
          <c:yMode val="edge"/>
          <c:x val="0.45765130153812639"/>
          <c:y val="0.14396067603721449"/>
          <c:w val="0.19081758235094576"/>
          <c:h val="0.24140717573850157"/>
        </c:manualLayout>
      </c:layout>
      <c:overlay val="1"/>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Electric Propulsion Total Mass Constant</a:t>
            </a:r>
          </a:p>
        </c:rich>
      </c:tx>
      <c:overlay val="0"/>
    </c:title>
    <c:autoTitleDeleted val="0"/>
    <c:plotArea>
      <c:layout/>
      <c:scatterChart>
        <c:scatterStyle val="smoothMarker"/>
        <c:varyColors val="0"/>
        <c:ser>
          <c:idx val="0"/>
          <c:order val="0"/>
          <c:tx>
            <c:strRef>
              <c:f>'Propulsion example'!$W$34:$W$35</c:f>
              <c:strCache>
                <c:ptCount val="2"/>
                <c:pt idx="0">
                  <c:v>M Prop</c:v>
                </c:pt>
                <c:pt idx="1">
                  <c:v>I25</c:v>
                </c:pt>
              </c:strCache>
            </c:strRef>
          </c:tx>
          <c:marker>
            <c:symbol val="none"/>
          </c:marker>
          <c:xVal>
            <c:numRef>
              <c:f>'Propulsion example'!$V$36:$V$64</c:f>
              <c:numCache>
                <c:formatCode>General</c:formatCode>
                <c:ptCount val="29"/>
                <c:pt idx="0">
                  <c:v>150</c:v>
                </c:pt>
                <c:pt idx="1">
                  <c:v>160</c:v>
                </c:pt>
                <c:pt idx="2">
                  <c:v>170</c:v>
                </c:pt>
                <c:pt idx="3">
                  <c:v>180</c:v>
                </c:pt>
                <c:pt idx="4">
                  <c:v>190</c:v>
                </c:pt>
                <c:pt idx="5">
                  <c:v>200</c:v>
                </c:pt>
                <c:pt idx="6">
                  <c:v>210</c:v>
                </c:pt>
                <c:pt idx="7">
                  <c:v>220</c:v>
                </c:pt>
                <c:pt idx="8">
                  <c:v>230</c:v>
                </c:pt>
                <c:pt idx="9">
                  <c:v>240</c:v>
                </c:pt>
                <c:pt idx="10">
                  <c:v>250</c:v>
                </c:pt>
                <c:pt idx="11">
                  <c:v>260</c:v>
                </c:pt>
                <c:pt idx="12">
                  <c:v>270</c:v>
                </c:pt>
                <c:pt idx="13">
                  <c:v>280</c:v>
                </c:pt>
                <c:pt idx="14">
                  <c:v>290</c:v>
                </c:pt>
                <c:pt idx="15">
                  <c:v>300</c:v>
                </c:pt>
                <c:pt idx="16">
                  <c:v>310</c:v>
                </c:pt>
                <c:pt idx="17">
                  <c:v>320</c:v>
                </c:pt>
                <c:pt idx="18">
                  <c:v>330</c:v>
                </c:pt>
                <c:pt idx="19">
                  <c:v>340</c:v>
                </c:pt>
                <c:pt idx="20">
                  <c:v>350</c:v>
                </c:pt>
                <c:pt idx="21">
                  <c:v>360</c:v>
                </c:pt>
                <c:pt idx="22">
                  <c:v>370</c:v>
                </c:pt>
                <c:pt idx="23">
                  <c:v>380</c:v>
                </c:pt>
                <c:pt idx="24">
                  <c:v>390</c:v>
                </c:pt>
                <c:pt idx="25">
                  <c:v>400</c:v>
                </c:pt>
                <c:pt idx="26">
                  <c:v>410</c:v>
                </c:pt>
                <c:pt idx="27">
                  <c:v>420</c:v>
                </c:pt>
                <c:pt idx="28">
                  <c:v>430</c:v>
                </c:pt>
              </c:numCache>
            </c:numRef>
          </c:xVal>
          <c:yVal>
            <c:numRef>
              <c:f>'Propulsion example'!$W$36:$W$64</c:f>
              <c:numCache>
                <c:formatCode>0.0</c:formatCode>
                <c:ptCount val="29"/>
                <c:pt idx="0">
                  <c:v>3.4569565587046505</c:v>
                </c:pt>
                <c:pt idx="1">
                  <c:v>3.45695655870465</c:v>
                </c:pt>
                <c:pt idx="2">
                  <c:v>3.45695655870465</c:v>
                </c:pt>
                <c:pt idx="3">
                  <c:v>3.45695655870465</c:v>
                </c:pt>
                <c:pt idx="4">
                  <c:v>3.45695655870465</c:v>
                </c:pt>
                <c:pt idx="5">
                  <c:v>3.45695655870465</c:v>
                </c:pt>
                <c:pt idx="6">
                  <c:v>3.4569565587046496</c:v>
                </c:pt>
                <c:pt idx="7">
                  <c:v>3.4569565587046496</c:v>
                </c:pt>
                <c:pt idx="8">
                  <c:v>3.45695655870465</c:v>
                </c:pt>
                <c:pt idx="9">
                  <c:v>3.4569565587046496</c:v>
                </c:pt>
                <c:pt idx="10">
                  <c:v>3.45695655870465</c:v>
                </c:pt>
                <c:pt idx="11">
                  <c:v>3.45695655870465</c:v>
                </c:pt>
                <c:pt idx="12">
                  <c:v>3.4569565587046496</c:v>
                </c:pt>
                <c:pt idx="13">
                  <c:v>3.4569565587046496</c:v>
                </c:pt>
                <c:pt idx="14">
                  <c:v>3.4569565587046496</c:v>
                </c:pt>
                <c:pt idx="15">
                  <c:v>3.45695655870465</c:v>
                </c:pt>
                <c:pt idx="16">
                  <c:v>3.4569565587046496</c:v>
                </c:pt>
                <c:pt idx="17">
                  <c:v>3.4569565587046496</c:v>
                </c:pt>
                <c:pt idx="18">
                  <c:v>3.4569565587046496</c:v>
                </c:pt>
                <c:pt idx="19">
                  <c:v>3.4569565587046505</c:v>
                </c:pt>
                <c:pt idx="20">
                  <c:v>3.4569565587046496</c:v>
                </c:pt>
                <c:pt idx="21">
                  <c:v>3.45695655870465</c:v>
                </c:pt>
                <c:pt idx="22">
                  <c:v>3.45695655870465</c:v>
                </c:pt>
                <c:pt idx="23">
                  <c:v>3.45695655870465</c:v>
                </c:pt>
                <c:pt idx="24">
                  <c:v>3.45695655870465</c:v>
                </c:pt>
                <c:pt idx="25">
                  <c:v>3.4569565587046505</c:v>
                </c:pt>
                <c:pt idx="26">
                  <c:v>3.4569565587046496</c:v>
                </c:pt>
                <c:pt idx="27">
                  <c:v>3.4569565587046496</c:v>
                </c:pt>
                <c:pt idx="28">
                  <c:v>3.4569565587046496</c:v>
                </c:pt>
              </c:numCache>
            </c:numRef>
          </c:yVal>
          <c:smooth val="1"/>
          <c:extLst>
            <c:ext xmlns:c16="http://schemas.microsoft.com/office/drawing/2014/chart" uri="{C3380CC4-5D6E-409C-BE32-E72D297353CC}">
              <c16:uniqueId val="{00000000-ABA9-4F30-980B-2A33B0848053}"/>
            </c:ext>
          </c:extLst>
        </c:ser>
        <c:ser>
          <c:idx val="1"/>
          <c:order val="1"/>
          <c:tx>
            <c:strRef>
              <c:f>'Propulsion example'!$X$34:$X$35</c:f>
              <c:strCache>
                <c:ptCount val="2"/>
                <c:pt idx="0">
                  <c:v>M Payload</c:v>
                </c:pt>
                <c:pt idx="1">
                  <c:v>I12</c:v>
                </c:pt>
              </c:strCache>
            </c:strRef>
          </c:tx>
          <c:marker>
            <c:symbol val="none"/>
          </c:marker>
          <c:xVal>
            <c:numRef>
              <c:f>'Propulsion example'!$V$36:$V$64</c:f>
              <c:numCache>
                <c:formatCode>General</c:formatCode>
                <c:ptCount val="29"/>
                <c:pt idx="0">
                  <c:v>150</c:v>
                </c:pt>
                <c:pt idx="1">
                  <c:v>160</c:v>
                </c:pt>
                <c:pt idx="2">
                  <c:v>170</c:v>
                </c:pt>
                <c:pt idx="3">
                  <c:v>180</c:v>
                </c:pt>
                <c:pt idx="4">
                  <c:v>190</c:v>
                </c:pt>
                <c:pt idx="5">
                  <c:v>200</c:v>
                </c:pt>
                <c:pt idx="6">
                  <c:v>210</c:v>
                </c:pt>
                <c:pt idx="7">
                  <c:v>220</c:v>
                </c:pt>
                <c:pt idx="8">
                  <c:v>230</c:v>
                </c:pt>
                <c:pt idx="9">
                  <c:v>240</c:v>
                </c:pt>
                <c:pt idx="10">
                  <c:v>250</c:v>
                </c:pt>
                <c:pt idx="11">
                  <c:v>260</c:v>
                </c:pt>
                <c:pt idx="12">
                  <c:v>270</c:v>
                </c:pt>
                <c:pt idx="13">
                  <c:v>280</c:v>
                </c:pt>
                <c:pt idx="14">
                  <c:v>290</c:v>
                </c:pt>
                <c:pt idx="15">
                  <c:v>300</c:v>
                </c:pt>
                <c:pt idx="16">
                  <c:v>310</c:v>
                </c:pt>
                <c:pt idx="17">
                  <c:v>320</c:v>
                </c:pt>
                <c:pt idx="18">
                  <c:v>330</c:v>
                </c:pt>
                <c:pt idx="19">
                  <c:v>340</c:v>
                </c:pt>
                <c:pt idx="20">
                  <c:v>350</c:v>
                </c:pt>
                <c:pt idx="21">
                  <c:v>360</c:v>
                </c:pt>
                <c:pt idx="22">
                  <c:v>370</c:v>
                </c:pt>
                <c:pt idx="23">
                  <c:v>380</c:v>
                </c:pt>
                <c:pt idx="24">
                  <c:v>390</c:v>
                </c:pt>
                <c:pt idx="25">
                  <c:v>400</c:v>
                </c:pt>
                <c:pt idx="26">
                  <c:v>410</c:v>
                </c:pt>
                <c:pt idx="27">
                  <c:v>420</c:v>
                </c:pt>
                <c:pt idx="28">
                  <c:v>430</c:v>
                </c:pt>
              </c:numCache>
            </c:numRef>
          </c:xVal>
          <c:yVal>
            <c:numRef>
              <c:f>'Propulsion example'!$X$36:$X$64</c:f>
              <c:numCache>
                <c:formatCode>0.0</c:formatCode>
                <c:ptCount val="29"/>
                <c:pt idx="0">
                  <c:v>7.8210729181200982</c:v>
                </c:pt>
                <c:pt idx="1">
                  <c:v>7.866196075818551</c:v>
                </c:pt>
                <c:pt idx="2">
                  <c:v>7.9060106267289507</c:v>
                </c:pt>
                <c:pt idx="3">
                  <c:v>7.9414013386493059</c:v>
                </c:pt>
                <c:pt idx="4">
                  <c:v>7.9730667124727823</c:v>
                </c:pt>
                <c:pt idx="5">
                  <c:v>8.001565548913911</c:v>
                </c:pt>
                <c:pt idx="6">
                  <c:v>8.0273502104558823</c:v>
                </c:pt>
                <c:pt idx="7">
                  <c:v>8.0507908118576772</c:v>
                </c:pt>
                <c:pt idx="8">
                  <c:v>8.0721931000940987</c:v>
                </c:pt>
                <c:pt idx="9">
                  <c:v>8.0918118643108166</c:v>
                </c:pt>
                <c:pt idx="10">
                  <c:v>8.1098611273901984</c:v>
                </c:pt>
                <c:pt idx="11">
                  <c:v>8.1265219856173196</c:v>
                </c:pt>
                <c:pt idx="12">
                  <c:v>8.1419487061979865</c:v>
                </c:pt>
                <c:pt idx="13">
                  <c:v>8.1562735181657491</c:v>
                </c:pt>
                <c:pt idx="14">
                  <c:v>8.1696104120667705</c:v>
                </c:pt>
                <c:pt idx="15">
                  <c:v>8.1820581797077239</c:v>
                </c:pt>
                <c:pt idx="16">
                  <c:v>8.1937028655653883</c:v>
                </c:pt>
                <c:pt idx="17">
                  <c:v>8.2046197585569498</c:v>
                </c:pt>
                <c:pt idx="18">
                  <c:v>8.2148750216702346</c:v>
                </c:pt>
                <c:pt idx="19">
                  <c:v>8.2245270340121515</c:v>
                </c:pt>
                <c:pt idx="20">
                  <c:v>8.2336275027916699</c:v>
                </c:pt>
                <c:pt idx="21">
                  <c:v>8.2422223899723281</c:v>
                </c:pt>
                <c:pt idx="22">
                  <c:v>8.2503526886567347</c:v>
                </c:pt>
                <c:pt idx="23">
                  <c:v>8.2580550768840659</c:v>
                </c:pt>
                <c:pt idx="24">
                  <c:v>8.2653624708433302</c:v>
                </c:pt>
                <c:pt idx="25">
                  <c:v>8.2723044951046312</c:v>
                </c:pt>
                <c:pt idx="26">
                  <c:v>8.2789078840361103</c:v>
                </c:pt>
                <c:pt idx="27">
                  <c:v>8.2851968258756159</c:v>
                </c:pt>
                <c:pt idx="28">
                  <c:v>8.2911932587923545</c:v>
                </c:pt>
              </c:numCache>
            </c:numRef>
          </c:yVal>
          <c:smooth val="1"/>
          <c:extLst>
            <c:ext xmlns:c16="http://schemas.microsoft.com/office/drawing/2014/chart" uri="{C3380CC4-5D6E-409C-BE32-E72D297353CC}">
              <c16:uniqueId val="{00000001-ABA9-4F30-980B-2A33B0848053}"/>
            </c:ext>
          </c:extLst>
        </c:ser>
        <c:ser>
          <c:idx val="2"/>
          <c:order val="2"/>
          <c:tx>
            <c:strRef>
              <c:f>'Propulsion example'!$Y$34:$Y$35</c:f>
              <c:strCache>
                <c:ptCount val="2"/>
                <c:pt idx="0">
                  <c:v>M Power</c:v>
                </c:pt>
                <c:pt idx="1">
                  <c:v>I26</c:v>
                </c:pt>
              </c:strCache>
            </c:strRef>
          </c:tx>
          <c:marker>
            <c:symbol val="none"/>
          </c:marker>
          <c:xVal>
            <c:numRef>
              <c:f>'Propulsion example'!$V$36:$V$64</c:f>
              <c:numCache>
                <c:formatCode>General</c:formatCode>
                <c:ptCount val="29"/>
                <c:pt idx="0">
                  <c:v>150</c:v>
                </c:pt>
                <c:pt idx="1">
                  <c:v>160</c:v>
                </c:pt>
                <c:pt idx="2">
                  <c:v>170</c:v>
                </c:pt>
                <c:pt idx="3">
                  <c:v>180</c:v>
                </c:pt>
                <c:pt idx="4">
                  <c:v>190</c:v>
                </c:pt>
                <c:pt idx="5">
                  <c:v>200</c:v>
                </c:pt>
                <c:pt idx="6">
                  <c:v>210</c:v>
                </c:pt>
                <c:pt idx="7">
                  <c:v>220</c:v>
                </c:pt>
                <c:pt idx="8">
                  <c:v>230</c:v>
                </c:pt>
                <c:pt idx="9">
                  <c:v>240</c:v>
                </c:pt>
                <c:pt idx="10">
                  <c:v>250</c:v>
                </c:pt>
                <c:pt idx="11">
                  <c:v>260</c:v>
                </c:pt>
                <c:pt idx="12">
                  <c:v>270</c:v>
                </c:pt>
                <c:pt idx="13">
                  <c:v>280</c:v>
                </c:pt>
                <c:pt idx="14">
                  <c:v>290</c:v>
                </c:pt>
                <c:pt idx="15">
                  <c:v>300</c:v>
                </c:pt>
                <c:pt idx="16">
                  <c:v>310</c:v>
                </c:pt>
                <c:pt idx="17">
                  <c:v>320</c:v>
                </c:pt>
                <c:pt idx="18">
                  <c:v>330</c:v>
                </c:pt>
                <c:pt idx="19">
                  <c:v>340</c:v>
                </c:pt>
                <c:pt idx="20">
                  <c:v>350</c:v>
                </c:pt>
                <c:pt idx="21">
                  <c:v>360</c:v>
                </c:pt>
                <c:pt idx="22">
                  <c:v>370</c:v>
                </c:pt>
                <c:pt idx="23">
                  <c:v>380</c:v>
                </c:pt>
                <c:pt idx="24">
                  <c:v>390</c:v>
                </c:pt>
                <c:pt idx="25">
                  <c:v>400</c:v>
                </c:pt>
                <c:pt idx="26">
                  <c:v>410</c:v>
                </c:pt>
                <c:pt idx="27">
                  <c:v>420</c:v>
                </c:pt>
                <c:pt idx="28">
                  <c:v>430</c:v>
                </c:pt>
              </c:numCache>
            </c:numRef>
          </c:xVal>
          <c:yVal>
            <c:numRef>
              <c:f>'Propulsion example'!$Y$36:$Y$64</c:f>
              <c:numCache>
                <c:formatCode>0.0</c:formatCode>
                <c:ptCount val="29"/>
                <c:pt idx="0">
                  <c:v>0.72197052317525312</c:v>
                </c:pt>
                <c:pt idx="1">
                  <c:v>0.6768473654767998</c:v>
                </c:pt>
                <c:pt idx="2">
                  <c:v>0.63703281456639971</c:v>
                </c:pt>
                <c:pt idx="3">
                  <c:v>0.60164210264604423</c:v>
                </c:pt>
                <c:pt idx="4">
                  <c:v>0.56997672882256822</c:v>
                </c:pt>
                <c:pt idx="5">
                  <c:v>0.54147789238143973</c:v>
                </c:pt>
                <c:pt idx="6">
                  <c:v>0.51569323083946639</c:v>
                </c:pt>
                <c:pt idx="7">
                  <c:v>0.49225262943767245</c:v>
                </c:pt>
                <c:pt idx="8">
                  <c:v>0.47085034120125197</c:v>
                </c:pt>
                <c:pt idx="9">
                  <c:v>0.45123157698453298</c:v>
                </c:pt>
                <c:pt idx="10">
                  <c:v>0.43318231390515183</c:v>
                </c:pt>
                <c:pt idx="11">
                  <c:v>0.41652145567803062</c:v>
                </c:pt>
                <c:pt idx="12">
                  <c:v>0.40109473509736271</c:v>
                </c:pt>
                <c:pt idx="13">
                  <c:v>0.38676992312959979</c:v>
                </c:pt>
                <c:pt idx="14">
                  <c:v>0.37343302922857913</c:v>
                </c:pt>
                <c:pt idx="15">
                  <c:v>0.3609852615876265</c:v>
                </c:pt>
                <c:pt idx="16">
                  <c:v>0.34934057572996113</c:v>
                </c:pt>
                <c:pt idx="17">
                  <c:v>0.33842368273839979</c:v>
                </c:pt>
                <c:pt idx="18">
                  <c:v>0.32816841962511495</c:v>
                </c:pt>
                <c:pt idx="19">
                  <c:v>0.31851640728319991</c:v>
                </c:pt>
                <c:pt idx="20">
                  <c:v>0.30941593850367988</c:v>
                </c:pt>
                <c:pt idx="21">
                  <c:v>0.30082105132302212</c:v>
                </c:pt>
                <c:pt idx="22">
                  <c:v>0.2926907526386161</c:v>
                </c:pt>
                <c:pt idx="23">
                  <c:v>0.28498836441128411</c:v>
                </c:pt>
                <c:pt idx="24">
                  <c:v>0.27768097045202039</c:v>
                </c:pt>
                <c:pt idx="25">
                  <c:v>0.27073894619071986</c:v>
                </c:pt>
                <c:pt idx="26">
                  <c:v>0.26413555725923887</c:v>
                </c:pt>
                <c:pt idx="27">
                  <c:v>0.25784661541973319</c:v>
                </c:pt>
                <c:pt idx="28">
                  <c:v>0.25185018250299518</c:v>
                </c:pt>
              </c:numCache>
            </c:numRef>
          </c:yVal>
          <c:smooth val="1"/>
          <c:extLst>
            <c:ext xmlns:c16="http://schemas.microsoft.com/office/drawing/2014/chart" uri="{C3380CC4-5D6E-409C-BE32-E72D297353CC}">
              <c16:uniqueId val="{00000002-ABA9-4F30-980B-2A33B0848053}"/>
            </c:ext>
          </c:extLst>
        </c:ser>
        <c:dLbls>
          <c:showLegendKey val="0"/>
          <c:showVal val="0"/>
          <c:showCatName val="0"/>
          <c:showSerName val="0"/>
          <c:showPercent val="0"/>
          <c:showBubbleSize val="0"/>
        </c:dLbls>
        <c:axId val="118826112"/>
        <c:axId val="119701504"/>
      </c:scatterChart>
      <c:scatterChart>
        <c:scatterStyle val="smoothMarker"/>
        <c:varyColors val="0"/>
        <c:ser>
          <c:idx val="3"/>
          <c:order val="3"/>
          <c:tx>
            <c:strRef>
              <c:f>'Propulsion example'!$Z$34:$Z$35</c:f>
              <c:strCache>
                <c:ptCount val="2"/>
                <c:pt idx="0">
                  <c:v>Power</c:v>
                </c:pt>
                <c:pt idx="1">
                  <c:v>I30</c:v>
                </c:pt>
              </c:strCache>
            </c:strRef>
          </c:tx>
          <c:spPr>
            <a:ln>
              <a:solidFill>
                <a:srgbClr val="FF0000"/>
              </a:solidFill>
            </a:ln>
          </c:spPr>
          <c:marker>
            <c:symbol val="circle"/>
            <c:size val="5"/>
            <c:spPr>
              <a:solidFill>
                <a:srgbClr val="FF0000"/>
              </a:solidFill>
              <a:ln>
                <a:solidFill>
                  <a:schemeClr val="tx1"/>
                </a:solidFill>
              </a:ln>
            </c:spPr>
          </c:marker>
          <c:xVal>
            <c:numRef>
              <c:f>'Propulsion example'!$V$36:$V$64</c:f>
              <c:numCache>
                <c:formatCode>General</c:formatCode>
                <c:ptCount val="29"/>
                <c:pt idx="0">
                  <c:v>150</c:v>
                </c:pt>
                <c:pt idx="1">
                  <c:v>160</c:v>
                </c:pt>
                <c:pt idx="2">
                  <c:v>170</c:v>
                </c:pt>
                <c:pt idx="3">
                  <c:v>180</c:v>
                </c:pt>
                <c:pt idx="4">
                  <c:v>190</c:v>
                </c:pt>
                <c:pt idx="5">
                  <c:v>200</c:v>
                </c:pt>
                <c:pt idx="6">
                  <c:v>210</c:v>
                </c:pt>
                <c:pt idx="7">
                  <c:v>220</c:v>
                </c:pt>
                <c:pt idx="8">
                  <c:v>230</c:v>
                </c:pt>
                <c:pt idx="9">
                  <c:v>240</c:v>
                </c:pt>
                <c:pt idx="10">
                  <c:v>250</c:v>
                </c:pt>
                <c:pt idx="11">
                  <c:v>260</c:v>
                </c:pt>
                <c:pt idx="12">
                  <c:v>270</c:v>
                </c:pt>
                <c:pt idx="13">
                  <c:v>280</c:v>
                </c:pt>
                <c:pt idx="14">
                  <c:v>290</c:v>
                </c:pt>
                <c:pt idx="15">
                  <c:v>300</c:v>
                </c:pt>
                <c:pt idx="16">
                  <c:v>310</c:v>
                </c:pt>
                <c:pt idx="17">
                  <c:v>320</c:v>
                </c:pt>
                <c:pt idx="18">
                  <c:v>330</c:v>
                </c:pt>
                <c:pt idx="19">
                  <c:v>340</c:v>
                </c:pt>
                <c:pt idx="20">
                  <c:v>350</c:v>
                </c:pt>
                <c:pt idx="21">
                  <c:v>360</c:v>
                </c:pt>
                <c:pt idx="22">
                  <c:v>370</c:v>
                </c:pt>
                <c:pt idx="23">
                  <c:v>380</c:v>
                </c:pt>
                <c:pt idx="24">
                  <c:v>390</c:v>
                </c:pt>
                <c:pt idx="25">
                  <c:v>400</c:v>
                </c:pt>
                <c:pt idx="26">
                  <c:v>410</c:v>
                </c:pt>
                <c:pt idx="27">
                  <c:v>420</c:v>
                </c:pt>
                <c:pt idx="28">
                  <c:v>430</c:v>
                </c:pt>
              </c:numCache>
            </c:numRef>
          </c:xVal>
          <c:yVal>
            <c:numRef>
              <c:f>'Propulsion example'!$Z$36:$Z$64</c:f>
              <c:numCache>
                <c:formatCode>0.0</c:formatCode>
                <c:ptCount val="29"/>
                <c:pt idx="0">
                  <c:v>3.2709050772465869E-4</c:v>
                </c:pt>
                <c:pt idx="1">
                  <c:v>3.0664735099186758E-4</c:v>
                </c:pt>
                <c:pt idx="2">
                  <c:v>2.8860927152175772E-4</c:v>
                </c:pt>
                <c:pt idx="3">
                  <c:v>2.7257542310388228E-4</c:v>
                </c:pt>
                <c:pt idx="4">
                  <c:v>2.5822934820367792E-4</c:v>
                </c:pt>
                <c:pt idx="5">
                  <c:v>2.4531788079349402E-4</c:v>
                </c:pt>
                <c:pt idx="6">
                  <c:v>2.3363607694618476E-4</c:v>
                </c:pt>
                <c:pt idx="7">
                  <c:v>2.2301625526681274E-4</c:v>
                </c:pt>
                <c:pt idx="8">
                  <c:v>2.1331989634216874E-4</c:v>
                </c:pt>
                <c:pt idx="9">
                  <c:v>2.0443156732791165E-4</c:v>
                </c:pt>
                <c:pt idx="10">
                  <c:v>1.9625430463479524E-4</c:v>
                </c:pt>
                <c:pt idx="11">
                  <c:v>1.8870606214884159E-4</c:v>
                </c:pt>
                <c:pt idx="12">
                  <c:v>1.8171694873592148E-4</c:v>
                </c:pt>
                <c:pt idx="13">
                  <c:v>1.7522705770963863E-4</c:v>
                </c:pt>
                <c:pt idx="14">
                  <c:v>1.6918474537482345E-4</c:v>
                </c:pt>
                <c:pt idx="15">
                  <c:v>1.6354525386232934E-4</c:v>
                </c:pt>
                <c:pt idx="16">
                  <c:v>1.5826960051193163E-4</c:v>
                </c:pt>
                <c:pt idx="17">
                  <c:v>1.5332367549593379E-4</c:v>
                </c:pt>
                <c:pt idx="18">
                  <c:v>1.486775035112085E-4</c:v>
                </c:pt>
                <c:pt idx="19">
                  <c:v>1.4430463576087886E-4</c:v>
                </c:pt>
                <c:pt idx="20">
                  <c:v>1.4018164616771086E-4</c:v>
                </c:pt>
                <c:pt idx="21">
                  <c:v>1.3628771155194114E-4</c:v>
                </c:pt>
                <c:pt idx="22">
                  <c:v>1.3260425988837515E-4</c:v>
                </c:pt>
                <c:pt idx="23">
                  <c:v>1.2911467410183899E-4</c:v>
                </c:pt>
                <c:pt idx="24">
                  <c:v>1.2580404143256103E-4</c:v>
                </c:pt>
                <c:pt idx="25">
                  <c:v>1.2265894039674701E-4</c:v>
                </c:pt>
                <c:pt idx="26">
                  <c:v>1.1966725892365563E-4</c:v>
                </c:pt>
                <c:pt idx="27">
                  <c:v>1.1681803847309238E-4</c:v>
                </c:pt>
                <c:pt idx="28">
                  <c:v>1.141013399039507E-4</c:v>
                </c:pt>
              </c:numCache>
            </c:numRef>
          </c:yVal>
          <c:smooth val="1"/>
          <c:extLst>
            <c:ext xmlns:c16="http://schemas.microsoft.com/office/drawing/2014/chart" uri="{C3380CC4-5D6E-409C-BE32-E72D297353CC}">
              <c16:uniqueId val="{00000003-ABA9-4F30-980B-2A33B0848053}"/>
            </c:ext>
          </c:extLst>
        </c:ser>
        <c:dLbls>
          <c:showLegendKey val="0"/>
          <c:showVal val="0"/>
          <c:showCatName val="0"/>
          <c:showSerName val="0"/>
          <c:showPercent val="0"/>
          <c:showBubbleSize val="0"/>
        </c:dLbls>
        <c:axId val="27562368"/>
        <c:axId val="119703424"/>
      </c:scatterChart>
      <c:valAx>
        <c:axId val="118826112"/>
        <c:scaling>
          <c:orientation val="minMax"/>
          <c:min val="150"/>
        </c:scaling>
        <c:delete val="0"/>
        <c:axPos val="b"/>
        <c:title>
          <c:tx>
            <c:rich>
              <a:bodyPr/>
              <a:lstStyle/>
              <a:p>
                <a:pPr>
                  <a:defRPr/>
                </a:pPr>
                <a:r>
                  <a:rPr lang="en-US"/>
                  <a:t>Burn Time (Days)</a:t>
                </a:r>
              </a:p>
            </c:rich>
          </c:tx>
          <c:overlay val="0"/>
        </c:title>
        <c:numFmt formatCode="General" sourceLinked="1"/>
        <c:majorTickMark val="out"/>
        <c:minorTickMark val="none"/>
        <c:tickLblPos val="nextTo"/>
        <c:crossAx val="119701504"/>
        <c:crosses val="autoZero"/>
        <c:crossBetween val="midCat"/>
      </c:valAx>
      <c:valAx>
        <c:axId val="119701504"/>
        <c:scaling>
          <c:orientation val="minMax"/>
        </c:scaling>
        <c:delete val="0"/>
        <c:axPos val="l"/>
        <c:majorGridlines/>
        <c:title>
          <c:tx>
            <c:rich>
              <a:bodyPr rot="-5400000" vert="horz"/>
              <a:lstStyle/>
              <a:p>
                <a:pPr>
                  <a:defRPr/>
                </a:pPr>
                <a:r>
                  <a:rPr lang="en-US"/>
                  <a:t>Mass (kg)</a:t>
                </a:r>
              </a:p>
            </c:rich>
          </c:tx>
          <c:overlay val="0"/>
        </c:title>
        <c:numFmt formatCode="0.0" sourceLinked="1"/>
        <c:majorTickMark val="out"/>
        <c:minorTickMark val="none"/>
        <c:tickLblPos val="nextTo"/>
        <c:crossAx val="118826112"/>
        <c:crosses val="autoZero"/>
        <c:crossBetween val="midCat"/>
      </c:valAx>
      <c:valAx>
        <c:axId val="119703424"/>
        <c:scaling>
          <c:orientation val="minMax"/>
        </c:scaling>
        <c:delete val="0"/>
        <c:axPos val="r"/>
        <c:title>
          <c:tx>
            <c:rich>
              <a:bodyPr rot="-5400000" vert="horz"/>
              <a:lstStyle/>
              <a:p>
                <a:pPr>
                  <a:defRPr>
                    <a:solidFill>
                      <a:srgbClr val="FF0000"/>
                    </a:solidFill>
                  </a:defRPr>
                </a:pPr>
                <a:r>
                  <a:rPr lang="en-US">
                    <a:solidFill>
                      <a:srgbClr val="FF0000"/>
                    </a:solidFill>
                  </a:rPr>
                  <a:t>Power (Watts)</a:t>
                </a:r>
              </a:p>
            </c:rich>
          </c:tx>
          <c:overlay val="0"/>
        </c:title>
        <c:numFmt formatCode="0.0" sourceLinked="1"/>
        <c:majorTickMark val="out"/>
        <c:minorTickMark val="none"/>
        <c:tickLblPos val="nextTo"/>
        <c:txPr>
          <a:bodyPr/>
          <a:lstStyle/>
          <a:p>
            <a:pPr>
              <a:defRPr>
                <a:solidFill>
                  <a:srgbClr val="FF0000"/>
                </a:solidFill>
              </a:defRPr>
            </a:pPr>
            <a:endParaRPr lang="en-US"/>
          </a:p>
        </c:txPr>
        <c:crossAx val="27562368"/>
        <c:crosses val="max"/>
        <c:crossBetween val="midCat"/>
      </c:valAx>
      <c:valAx>
        <c:axId val="27562368"/>
        <c:scaling>
          <c:orientation val="minMax"/>
        </c:scaling>
        <c:delete val="1"/>
        <c:axPos val="b"/>
        <c:numFmt formatCode="General" sourceLinked="1"/>
        <c:majorTickMark val="out"/>
        <c:minorTickMark val="none"/>
        <c:tickLblPos val="nextTo"/>
        <c:crossAx val="119703424"/>
        <c:crosses val="autoZero"/>
        <c:crossBetween val="midCat"/>
      </c:valAx>
    </c:plotArea>
    <c:legend>
      <c:legendPos val="l"/>
      <c:layout>
        <c:manualLayout>
          <c:xMode val="edge"/>
          <c:yMode val="edge"/>
          <c:x val="0.60790970469621475"/>
          <c:y val="0.24116947000323852"/>
          <c:w val="0.23585491125519378"/>
          <c:h val="0.24140717573850157"/>
        </c:manualLayout>
      </c:layout>
      <c:overlay val="1"/>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Electric Propulsion Total</a:t>
            </a:r>
            <a:r>
              <a:rPr lang="en-US" baseline="0"/>
              <a:t> Mass Constant</a:t>
            </a:r>
            <a:endParaRPr lang="en-US"/>
          </a:p>
        </c:rich>
      </c:tx>
      <c:overlay val="0"/>
    </c:title>
    <c:autoTitleDeleted val="0"/>
    <c:plotArea>
      <c:layout/>
      <c:scatterChart>
        <c:scatterStyle val="smoothMarker"/>
        <c:varyColors val="0"/>
        <c:ser>
          <c:idx val="1"/>
          <c:order val="0"/>
          <c:tx>
            <c:strRef>
              <c:f>'Propulsion example'!$X$34:$X$35</c:f>
              <c:strCache>
                <c:ptCount val="2"/>
                <c:pt idx="0">
                  <c:v>M Payload</c:v>
                </c:pt>
                <c:pt idx="1">
                  <c:v>I12</c:v>
                </c:pt>
              </c:strCache>
            </c:strRef>
          </c:tx>
          <c:marker>
            <c:symbol val="none"/>
          </c:marker>
          <c:xVal>
            <c:numRef>
              <c:f>'Propulsion example'!$V$36:$V$64</c:f>
              <c:numCache>
                <c:formatCode>General</c:formatCode>
                <c:ptCount val="29"/>
                <c:pt idx="0">
                  <c:v>150</c:v>
                </c:pt>
                <c:pt idx="1">
                  <c:v>160</c:v>
                </c:pt>
                <c:pt idx="2">
                  <c:v>170</c:v>
                </c:pt>
                <c:pt idx="3">
                  <c:v>180</c:v>
                </c:pt>
                <c:pt idx="4">
                  <c:v>190</c:v>
                </c:pt>
                <c:pt idx="5">
                  <c:v>200</c:v>
                </c:pt>
                <c:pt idx="6">
                  <c:v>210</c:v>
                </c:pt>
                <c:pt idx="7">
                  <c:v>220</c:v>
                </c:pt>
                <c:pt idx="8">
                  <c:v>230</c:v>
                </c:pt>
                <c:pt idx="9">
                  <c:v>240</c:v>
                </c:pt>
                <c:pt idx="10">
                  <c:v>250</c:v>
                </c:pt>
                <c:pt idx="11">
                  <c:v>260</c:v>
                </c:pt>
                <c:pt idx="12">
                  <c:v>270</c:v>
                </c:pt>
                <c:pt idx="13">
                  <c:v>280</c:v>
                </c:pt>
                <c:pt idx="14">
                  <c:v>290</c:v>
                </c:pt>
                <c:pt idx="15">
                  <c:v>300</c:v>
                </c:pt>
                <c:pt idx="16">
                  <c:v>310</c:v>
                </c:pt>
                <c:pt idx="17">
                  <c:v>320</c:v>
                </c:pt>
                <c:pt idx="18">
                  <c:v>330</c:v>
                </c:pt>
                <c:pt idx="19">
                  <c:v>340</c:v>
                </c:pt>
                <c:pt idx="20">
                  <c:v>350</c:v>
                </c:pt>
                <c:pt idx="21">
                  <c:v>360</c:v>
                </c:pt>
                <c:pt idx="22">
                  <c:v>370</c:v>
                </c:pt>
                <c:pt idx="23">
                  <c:v>380</c:v>
                </c:pt>
                <c:pt idx="24">
                  <c:v>390</c:v>
                </c:pt>
                <c:pt idx="25">
                  <c:v>400</c:v>
                </c:pt>
                <c:pt idx="26">
                  <c:v>410</c:v>
                </c:pt>
                <c:pt idx="27">
                  <c:v>420</c:v>
                </c:pt>
                <c:pt idx="28">
                  <c:v>430</c:v>
                </c:pt>
              </c:numCache>
            </c:numRef>
          </c:xVal>
          <c:yVal>
            <c:numRef>
              <c:f>'Propulsion example'!$X$36:$X$64</c:f>
              <c:numCache>
                <c:formatCode>0.0</c:formatCode>
                <c:ptCount val="29"/>
                <c:pt idx="0">
                  <c:v>7.8210729181200982</c:v>
                </c:pt>
                <c:pt idx="1">
                  <c:v>7.866196075818551</c:v>
                </c:pt>
                <c:pt idx="2">
                  <c:v>7.9060106267289507</c:v>
                </c:pt>
                <c:pt idx="3">
                  <c:v>7.9414013386493059</c:v>
                </c:pt>
                <c:pt idx="4">
                  <c:v>7.9730667124727823</c:v>
                </c:pt>
                <c:pt idx="5">
                  <c:v>8.001565548913911</c:v>
                </c:pt>
                <c:pt idx="6">
                  <c:v>8.0273502104558823</c:v>
                </c:pt>
                <c:pt idx="7">
                  <c:v>8.0507908118576772</c:v>
                </c:pt>
                <c:pt idx="8">
                  <c:v>8.0721931000940987</c:v>
                </c:pt>
                <c:pt idx="9">
                  <c:v>8.0918118643108166</c:v>
                </c:pt>
                <c:pt idx="10">
                  <c:v>8.1098611273901984</c:v>
                </c:pt>
                <c:pt idx="11">
                  <c:v>8.1265219856173196</c:v>
                </c:pt>
                <c:pt idx="12">
                  <c:v>8.1419487061979865</c:v>
                </c:pt>
                <c:pt idx="13">
                  <c:v>8.1562735181657491</c:v>
                </c:pt>
                <c:pt idx="14">
                  <c:v>8.1696104120667705</c:v>
                </c:pt>
                <c:pt idx="15">
                  <c:v>8.1820581797077239</c:v>
                </c:pt>
                <c:pt idx="16">
                  <c:v>8.1937028655653883</c:v>
                </c:pt>
                <c:pt idx="17">
                  <c:v>8.2046197585569498</c:v>
                </c:pt>
                <c:pt idx="18">
                  <c:v>8.2148750216702346</c:v>
                </c:pt>
                <c:pt idx="19">
                  <c:v>8.2245270340121515</c:v>
                </c:pt>
                <c:pt idx="20">
                  <c:v>8.2336275027916699</c:v>
                </c:pt>
                <c:pt idx="21">
                  <c:v>8.2422223899723281</c:v>
                </c:pt>
                <c:pt idx="22">
                  <c:v>8.2503526886567347</c:v>
                </c:pt>
                <c:pt idx="23">
                  <c:v>8.2580550768840659</c:v>
                </c:pt>
                <c:pt idx="24">
                  <c:v>8.2653624708433302</c:v>
                </c:pt>
                <c:pt idx="25">
                  <c:v>8.2723044951046312</c:v>
                </c:pt>
                <c:pt idx="26">
                  <c:v>8.2789078840361103</c:v>
                </c:pt>
                <c:pt idx="27">
                  <c:v>8.2851968258756159</c:v>
                </c:pt>
                <c:pt idx="28">
                  <c:v>8.2911932587923545</c:v>
                </c:pt>
              </c:numCache>
            </c:numRef>
          </c:yVal>
          <c:smooth val="1"/>
          <c:extLst>
            <c:ext xmlns:c16="http://schemas.microsoft.com/office/drawing/2014/chart" uri="{C3380CC4-5D6E-409C-BE32-E72D297353CC}">
              <c16:uniqueId val="{00000000-2ED1-4A3D-98F8-E31339461F4A}"/>
            </c:ext>
          </c:extLst>
        </c:ser>
        <c:dLbls>
          <c:showLegendKey val="0"/>
          <c:showVal val="0"/>
          <c:showCatName val="0"/>
          <c:showSerName val="0"/>
          <c:showPercent val="0"/>
          <c:showBubbleSize val="0"/>
        </c:dLbls>
        <c:axId val="27662208"/>
        <c:axId val="27672960"/>
      </c:scatterChart>
      <c:scatterChart>
        <c:scatterStyle val="smoothMarker"/>
        <c:varyColors val="0"/>
        <c:ser>
          <c:idx val="3"/>
          <c:order val="1"/>
          <c:tx>
            <c:strRef>
              <c:f>'Propulsion example'!$AA$34:$AA$35</c:f>
              <c:strCache>
                <c:ptCount val="2"/>
                <c:pt idx="0">
                  <c:v>Thrust</c:v>
                </c:pt>
                <c:pt idx="1">
                  <c:v>I28</c:v>
                </c:pt>
              </c:strCache>
            </c:strRef>
          </c:tx>
          <c:spPr>
            <a:ln>
              <a:solidFill>
                <a:srgbClr val="FF0000"/>
              </a:solidFill>
            </a:ln>
          </c:spPr>
          <c:marker>
            <c:symbol val="circle"/>
            <c:size val="5"/>
            <c:spPr>
              <a:solidFill>
                <a:srgbClr val="FF0000"/>
              </a:solidFill>
              <a:ln>
                <a:solidFill>
                  <a:schemeClr val="tx1"/>
                </a:solidFill>
              </a:ln>
            </c:spPr>
          </c:marker>
          <c:xVal>
            <c:numRef>
              <c:f>'Propulsion example'!$V$36:$V$64</c:f>
              <c:numCache>
                <c:formatCode>General</c:formatCode>
                <c:ptCount val="29"/>
                <c:pt idx="0">
                  <c:v>150</c:v>
                </c:pt>
                <c:pt idx="1">
                  <c:v>160</c:v>
                </c:pt>
                <c:pt idx="2">
                  <c:v>170</c:v>
                </c:pt>
                <c:pt idx="3">
                  <c:v>180</c:v>
                </c:pt>
                <c:pt idx="4">
                  <c:v>190</c:v>
                </c:pt>
                <c:pt idx="5">
                  <c:v>200</c:v>
                </c:pt>
                <c:pt idx="6">
                  <c:v>210</c:v>
                </c:pt>
                <c:pt idx="7">
                  <c:v>220</c:v>
                </c:pt>
                <c:pt idx="8">
                  <c:v>230</c:v>
                </c:pt>
                <c:pt idx="9">
                  <c:v>240</c:v>
                </c:pt>
                <c:pt idx="10">
                  <c:v>250</c:v>
                </c:pt>
                <c:pt idx="11">
                  <c:v>260</c:v>
                </c:pt>
                <c:pt idx="12">
                  <c:v>270</c:v>
                </c:pt>
                <c:pt idx="13">
                  <c:v>280</c:v>
                </c:pt>
                <c:pt idx="14">
                  <c:v>290</c:v>
                </c:pt>
                <c:pt idx="15">
                  <c:v>300</c:v>
                </c:pt>
                <c:pt idx="16">
                  <c:v>310</c:v>
                </c:pt>
                <c:pt idx="17">
                  <c:v>320</c:v>
                </c:pt>
                <c:pt idx="18">
                  <c:v>330</c:v>
                </c:pt>
                <c:pt idx="19">
                  <c:v>340</c:v>
                </c:pt>
                <c:pt idx="20">
                  <c:v>350</c:v>
                </c:pt>
                <c:pt idx="21">
                  <c:v>360</c:v>
                </c:pt>
                <c:pt idx="22">
                  <c:v>370</c:v>
                </c:pt>
                <c:pt idx="23">
                  <c:v>380</c:v>
                </c:pt>
                <c:pt idx="24">
                  <c:v>390</c:v>
                </c:pt>
                <c:pt idx="25">
                  <c:v>400</c:v>
                </c:pt>
                <c:pt idx="26">
                  <c:v>410</c:v>
                </c:pt>
                <c:pt idx="27">
                  <c:v>420</c:v>
                </c:pt>
                <c:pt idx="28">
                  <c:v>430</c:v>
                </c:pt>
              </c:numCache>
            </c:numRef>
          </c:xVal>
          <c:yVal>
            <c:numRef>
              <c:f>'Propulsion example'!$AA$36:$AA$64</c:f>
              <c:numCache>
                <c:formatCode>0.00E+00</c:formatCode>
                <c:ptCount val="29"/>
                <c:pt idx="0">
                  <c:v>2.6674047520869218E-7</c:v>
                </c:pt>
                <c:pt idx="1">
                  <c:v>2.5006919550814889E-7</c:v>
                </c:pt>
                <c:pt idx="2">
                  <c:v>2.3535924283119892E-7</c:v>
                </c:pt>
                <c:pt idx="3">
                  <c:v>2.2228372934057678E-7</c:v>
                </c:pt>
                <c:pt idx="4">
                  <c:v>2.1058458569107275E-7</c:v>
                </c:pt>
                <c:pt idx="5">
                  <c:v>2.0005535640651911E-7</c:v>
                </c:pt>
                <c:pt idx="6">
                  <c:v>1.905289108633515E-7</c:v>
                </c:pt>
                <c:pt idx="7">
                  <c:v>1.8186850582410827E-7</c:v>
                </c:pt>
                <c:pt idx="8">
                  <c:v>1.7396117948392966E-7</c:v>
                </c:pt>
                <c:pt idx="9">
                  <c:v>1.6671279700543252E-7</c:v>
                </c:pt>
                <c:pt idx="10">
                  <c:v>1.6004428512521527E-7</c:v>
                </c:pt>
                <c:pt idx="11">
                  <c:v>1.5388873569732239E-7</c:v>
                </c:pt>
                <c:pt idx="12">
                  <c:v>1.4818915289371783E-7</c:v>
                </c:pt>
                <c:pt idx="13">
                  <c:v>1.4289668314751365E-7</c:v>
                </c:pt>
                <c:pt idx="14">
                  <c:v>1.3796921131484072E-7</c:v>
                </c:pt>
                <c:pt idx="15">
                  <c:v>1.3337023760434604E-7</c:v>
                </c:pt>
                <c:pt idx="16">
                  <c:v>1.2906797187517361E-7</c:v>
                </c:pt>
                <c:pt idx="17">
                  <c:v>1.2503459775407442E-7</c:v>
                </c:pt>
                <c:pt idx="18">
                  <c:v>1.2124567054940549E-7</c:v>
                </c:pt>
                <c:pt idx="19">
                  <c:v>1.1767962141559949E-7</c:v>
                </c:pt>
                <c:pt idx="20">
                  <c:v>1.143173465180109E-7</c:v>
                </c:pt>
                <c:pt idx="21">
                  <c:v>1.1114186467028839E-7</c:v>
                </c:pt>
                <c:pt idx="22">
                  <c:v>1.0813803049001032E-7</c:v>
                </c:pt>
                <c:pt idx="23">
                  <c:v>1.0529229284553637E-7</c:v>
                </c:pt>
                <c:pt idx="24">
                  <c:v>1.0259249046488158E-7</c:v>
                </c:pt>
                <c:pt idx="25">
                  <c:v>1.0002767820325956E-7</c:v>
                </c:pt>
                <c:pt idx="26">
                  <c:v>9.7587978734887346E-8</c:v>
                </c:pt>
                <c:pt idx="27">
                  <c:v>9.5264455431675751E-8</c:v>
                </c:pt>
                <c:pt idx="28">
                  <c:v>9.3049002979776307E-8</c:v>
                </c:pt>
              </c:numCache>
            </c:numRef>
          </c:yVal>
          <c:smooth val="1"/>
          <c:extLst>
            <c:ext xmlns:c16="http://schemas.microsoft.com/office/drawing/2014/chart" uri="{C3380CC4-5D6E-409C-BE32-E72D297353CC}">
              <c16:uniqueId val="{00000001-2ED1-4A3D-98F8-E31339461F4A}"/>
            </c:ext>
          </c:extLst>
        </c:ser>
        <c:dLbls>
          <c:showLegendKey val="0"/>
          <c:showVal val="0"/>
          <c:showCatName val="0"/>
          <c:showSerName val="0"/>
          <c:showPercent val="0"/>
          <c:showBubbleSize val="0"/>
        </c:dLbls>
        <c:axId val="27685248"/>
        <c:axId val="27674880"/>
      </c:scatterChart>
      <c:valAx>
        <c:axId val="27662208"/>
        <c:scaling>
          <c:orientation val="minMax"/>
          <c:min val="150"/>
        </c:scaling>
        <c:delete val="0"/>
        <c:axPos val="b"/>
        <c:title>
          <c:tx>
            <c:rich>
              <a:bodyPr/>
              <a:lstStyle/>
              <a:p>
                <a:pPr>
                  <a:defRPr/>
                </a:pPr>
                <a:r>
                  <a:rPr lang="en-US"/>
                  <a:t>Burn Time (Days)</a:t>
                </a:r>
              </a:p>
            </c:rich>
          </c:tx>
          <c:overlay val="0"/>
        </c:title>
        <c:numFmt formatCode="General" sourceLinked="1"/>
        <c:majorTickMark val="out"/>
        <c:minorTickMark val="none"/>
        <c:tickLblPos val="nextTo"/>
        <c:crossAx val="27672960"/>
        <c:crosses val="autoZero"/>
        <c:crossBetween val="midCat"/>
      </c:valAx>
      <c:valAx>
        <c:axId val="27672960"/>
        <c:scaling>
          <c:orientation val="minMax"/>
        </c:scaling>
        <c:delete val="0"/>
        <c:axPos val="l"/>
        <c:majorGridlines/>
        <c:title>
          <c:tx>
            <c:rich>
              <a:bodyPr rot="-5400000" vert="horz"/>
              <a:lstStyle/>
              <a:p>
                <a:pPr>
                  <a:defRPr/>
                </a:pPr>
                <a:r>
                  <a:rPr lang="en-US"/>
                  <a:t>Mass (kg)</a:t>
                </a:r>
              </a:p>
            </c:rich>
          </c:tx>
          <c:overlay val="0"/>
        </c:title>
        <c:numFmt formatCode="0.0" sourceLinked="1"/>
        <c:majorTickMark val="out"/>
        <c:minorTickMark val="none"/>
        <c:tickLblPos val="nextTo"/>
        <c:crossAx val="27662208"/>
        <c:crosses val="autoZero"/>
        <c:crossBetween val="midCat"/>
      </c:valAx>
      <c:valAx>
        <c:axId val="27674880"/>
        <c:scaling>
          <c:orientation val="minMax"/>
        </c:scaling>
        <c:delete val="0"/>
        <c:axPos val="r"/>
        <c:title>
          <c:tx>
            <c:rich>
              <a:bodyPr rot="-5400000" vert="horz"/>
              <a:lstStyle/>
              <a:p>
                <a:pPr>
                  <a:defRPr>
                    <a:solidFill>
                      <a:srgbClr val="FF0000"/>
                    </a:solidFill>
                  </a:defRPr>
                </a:pPr>
                <a:r>
                  <a:rPr lang="en-US">
                    <a:solidFill>
                      <a:srgbClr val="FF0000"/>
                    </a:solidFill>
                  </a:rPr>
                  <a:t>Thrust (N)</a:t>
                </a:r>
              </a:p>
            </c:rich>
          </c:tx>
          <c:overlay val="0"/>
        </c:title>
        <c:numFmt formatCode="0.00E+00" sourceLinked="1"/>
        <c:majorTickMark val="out"/>
        <c:minorTickMark val="none"/>
        <c:tickLblPos val="nextTo"/>
        <c:txPr>
          <a:bodyPr/>
          <a:lstStyle/>
          <a:p>
            <a:pPr>
              <a:defRPr>
                <a:solidFill>
                  <a:srgbClr val="FF0000"/>
                </a:solidFill>
              </a:defRPr>
            </a:pPr>
            <a:endParaRPr lang="en-US"/>
          </a:p>
        </c:txPr>
        <c:crossAx val="27685248"/>
        <c:crosses val="max"/>
        <c:crossBetween val="midCat"/>
      </c:valAx>
      <c:valAx>
        <c:axId val="27685248"/>
        <c:scaling>
          <c:orientation val="minMax"/>
        </c:scaling>
        <c:delete val="1"/>
        <c:axPos val="b"/>
        <c:numFmt formatCode="General" sourceLinked="1"/>
        <c:majorTickMark val="out"/>
        <c:minorTickMark val="none"/>
        <c:tickLblPos val="nextTo"/>
        <c:crossAx val="27674880"/>
        <c:crosses val="autoZero"/>
        <c:crossBetween val="midCat"/>
      </c:valAx>
    </c:plotArea>
    <c:legend>
      <c:legendPos val="l"/>
      <c:layout>
        <c:manualLayout>
          <c:xMode val="edge"/>
          <c:yMode val="edge"/>
          <c:x val="0.60790970469621475"/>
          <c:y val="0.24116947000323852"/>
          <c:w val="0.20329906678331874"/>
          <c:h val="0.1255757874015748"/>
        </c:manualLayout>
      </c:layout>
      <c:overlay val="1"/>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Electric Propulsion Total Mass Constant</a:t>
            </a:r>
          </a:p>
        </c:rich>
      </c:tx>
      <c:overlay val="0"/>
    </c:title>
    <c:autoTitleDeleted val="0"/>
    <c:plotArea>
      <c:layout/>
      <c:scatterChart>
        <c:scatterStyle val="smoothMarker"/>
        <c:varyColors val="0"/>
        <c:ser>
          <c:idx val="1"/>
          <c:order val="0"/>
          <c:tx>
            <c:strRef>
              <c:f>'Propulsion example'!$X$34:$X$35</c:f>
              <c:strCache>
                <c:ptCount val="2"/>
                <c:pt idx="0">
                  <c:v>M Payload</c:v>
                </c:pt>
                <c:pt idx="1">
                  <c:v>I12</c:v>
                </c:pt>
              </c:strCache>
            </c:strRef>
          </c:tx>
          <c:marker>
            <c:symbol val="none"/>
          </c:marker>
          <c:xVal>
            <c:numRef>
              <c:f>'Propulsion example'!$V$36:$V$64</c:f>
              <c:numCache>
                <c:formatCode>General</c:formatCode>
                <c:ptCount val="29"/>
                <c:pt idx="0">
                  <c:v>150</c:v>
                </c:pt>
                <c:pt idx="1">
                  <c:v>160</c:v>
                </c:pt>
                <c:pt idx="2">
                  <c:v>170</c:v>
                </c:pt>
                <c:pt idx="3">
                  <c:v>180</c:v>
                </c:pt>
                <c:pt idx="4">
                  <c:v>190</c:v>
                </c:pt>
                <c:pt idx="5">
                  <c:v>200</c:v>
                </c:pt>
                <c:pt idx="6">
                  <c:v>210</c:v>
                </c:pt>
                <c:pt idx="7">
                  <c:v>220</c:v>
                </c:pt>
                <c:pt idx="8">
                  <c:v>230</c:v>
                </c:pt>
                <c:pt idx="9">
                  <c:v>240</c:v>
                </c:pt>
                <c:pt idx="10">
                  <c:v>250</c:v>
                </c:pt>
                <c:pt idx="11">
                  <c:v>260</c:v>
                </c:pt>
                <c:pt idx="12">
                  <c:v>270</c:v>
                </c:pt>
                <c:pt idx="13">
                  <c:v>280</c:v>
                </c:pt>
                <c:pt idx="14">
                  <c:v>290</c:v>
                </c:pt>
                <c:pt idx="15">
                  <c:v>300</c:v>
                </c:pt>
                <c:pt idx="16">
                  <c:v>310</c:v>
                </c:pt>
                <c:pt idx="17">
                  <c:v>320</c:v>
                </c:pt>
                <c:pt idx="18">
                  <c:v>330</c:v>
                </c:pt>
                <c:pt idx="19">
                  <c:v>340</c:v>
                </c:pt>
                <c:pt idx="20">
                  <c:v>350</c:v>
                </c:pt>
                <c:pt idx="21">
                  <c:v>360</c:v>
                </c:pt>
                <c:pt idx="22">
                  <c:v>370</c:v>
                </c:pt>
                <c:pt idx="23">
                  <c:v>380</c:v>
                </c:pt>
                <c:pt idx="24">
                  <c:v>390</c:v>
                </c:pt>
                <c:pt idx="25">
                  <c:v>400</c:v>
                </c:pt>
                <c:pt idx="26">
                  <c:v>410</c:v>
                </c:pt>
                <c:pt idx="27">
                  <c:v>420</c:v>
                </c:pt>
                <c:pt idx="28">
                  <c:v>430</c:v>
                </c:pt>
              </c:numCache>
            </c:numRef>
          </c:xVal>
          <c:yVal>
            <c:numRef>
              <c:f>'Propulsion example'!$X$36:$X$64</c:f>
              <c:numCache>
                <c:formatCode>0.0</c:formatCode>
                <c:ptCount val="29"/>
                <c:pt idx="0">
                  <c:v>7.8210729181200982</c:v>
                </c:pt>
                <c:pt idx="1">
                  <c:v>7.866196075818551</c:v>
                </c:pt>
                <c:pt idx="2">
                  <c:v>7.9060106267289507</c:v>
                </c:pt>
                <c:pt idx="3">
                  <c:v>7.9414013386493059</c:v>
                </c:pt>
                <c:pt idx="4">
                  <c:v>7.9730667124727823</c:v>
                </c:pt>
                <c:pt idx="5">
                  <c:v>8.001565548913911</c:v>
                </c:pt>
                <c:pt idx="6">
                  <c:v>8.0273502104558823</c:v>
                </c:pt>
                <c:pt idx="7">
                  <c:v>8.0507908118576772</c:v>
                </c:pt>
                <c:pt idx="8">
                  <c:v>8.0721931000940987</c:v>
                </c:pt>
                <c:pt idx="9">
                  <c:v>8.0918118643108166</c:v>
                </c:pt>
                <c:pt idx="10">
                  <c:v>8.1098611273901984</c:v>
                </c:pt>
                <c:pt idx="11">
                  <c:v>8.1265219856173196</c:v>
                </c:pt>
                <c:pt idx="12">
                  <c:v>8.1419487061979865</c:v>
                </c:pt>
                <c:pt idx="13">
                  <c:v>8.1562735181657491</c:v>
                </c:pt>
                <c:pt idx="14">
                  <c:v>8.1696104120667705</c:v>
                </c:pt>
                <c:pt idx="15">
                  <c:v>8.1820581797077239</c:v>
                </c:pt>
                <c:pt idx="16">
                  <c:v>8.1937028655653883</c:v>
                </c:pt>
                <c:pt idx="17">
                  <c:v>8.2046197585569498</c:v>
                </c:pt>
                <c:pt idx="18">
                  <c:v>8.2148750216702346</c:v>
                </c:pt>
                <c:pt idx="19">
                  <c:v>8.2245270340121515</c:v>
                </c:pt>
                <c:pt idx="20">
                  <c:v>8.2336275027916699</c:v>
                </c:pt>
                <c:pt idx="21">
                  <c:v>8.2422223899723281</c:v>
                </c:pt>
                <c:pt idx="22">
                  <c:v>8.2503526886567347</c:v>
                </c:pt>
                <c:pt idx="23">
                  <c:v>8.2580550768840659</c:v>
                </c:pt>
                <c:pt idx="24">
                  <c:v>8.2653624708433302</c:v>
                </c:pt>
                <c:pt idx="25">
                  <c:v>8.2723044951046312</c:v>
                </c:pt>
                <c:pt idx="26">
                  <c:v>8.2789078840361103</c:v>
                </c:pt>
                <c:pt idx="27">
                  <c:v>8.2851968258756159</c:v>
                </c:pt>
                <c:pt idx="28">
                  <c:v>8.2911932587923545</c:v>
                </c:pt>
              </c:numCache>
            </c:numRef>
          </c:yVal>
          <c:smooth val="1"/>
          <c:extLst>
            <c:ext xmlns:c16="http://schemas.microsoft.com/office/drawing/2014/chart" uri="{C3380CC4-5D6E-409C-BE32-E72D297353CC}">
              <c16:uniqueId val="{00000000-9CE2-47D2-9ECF-593F06FD06F7}"/>
            </c:ext>
          </c:extLst>
        </c:ser>
        <c:dLbls>
          <c:showLegendKey val="0"/>
          <c:showVal val="0"/>
          <c:showCatName val="0"/>
          <c:showSerName val="0"/>
          <c:showPercent val="0"/>
          <c:showBubbleSize val="0"/>
        </c:dLbls>
        <c:axId val="27715840"/>
        <c:axId val="28136192"/>
      </c:scatterChart>
      <c:scatterChart>
        <c:scatterStyle val="smoothMarker"/>
        <c:varyColors val="0"/>
        <c:ser>
          <c:idx val="3"/>
          <c:order val="1"/>
          <c:tx>
            <c:strRef>
              <c:f>'Propulsion example'!$Z$34:$Z$35</c:f>
              <c:strCache>
                <c:ptCount val="2"/>
                <c:pt idx="0">
                  <c:v>Power</c:v>
                </c:pt>
                <c:pt idx="1">
                  <c:v>I30</c:v>
                </c:pt>
              </c:strCache>
            </c:strRef>
          </c:tx>
          <c:spPr>
            <a:ln>
              <a:solidFill>
                <a:srgbClr val="FF0000"/>
              </a:solidFill>
            </a:ln>
          </c:spPr>
          <c:marker>
            <c:symbol val="circle"/>
            <c:size val="5"/>
            <c:spPr>
              <a:solidFill>
                <a:srgbClr val="FF0000"/>
              </a:solidFill>
              <a:ln>
                <a:solidFill>
                  <a:schemeClr val="tx1"/>
                </a:solidFill>
              </a:ln>
            </c:spPr>
          </c:marker>
          <c:xVal>
            <c:numRef>
              <c:f>'Propulsion example'!$V$36:$V$64</c:f>
              <c:numCache>
                <c:formatCode>General</c:formatCode>
                <c:ptCount val="29"/>
                <c:pt idx="0">
                  <c:v>150</c:v>
                </c:pt>
                <c:pt idx="1">
                  <c:v>160</c:v>
                </c:pt>
                <c:pt idx="2">
                  <c:v>170</c:v>
                </c:pt>
                <c:pt idx="3">
                  <c:v>180</c:v>
                </c:pt>
                <c:pt idx="4">
                  <c:v>190</c:v>
                </c:pt>
                <c:pt idx="5">
                  <c:v>200</c:v>
                </c:pt>
                <c:pt idx="6">
                  <c:v>210</c:v>
                </c:pt>
                <c:pt idx="7">
                  <c:v>220</c:v>
                </c:pt>
                <c:pt idx="8">
                  <c:v>230</c:v>
                </c:pt>
                <c:pt idx="9">
                  <c:v>240</c:v>
                </c:pt>
                <c:pt idx="10">
                  <c:v>250</c:v>
                </c:pt>
                <c:pt idx="11">
                  <c:v>260</c:v>
                </c:pt>
                <c:pt idx="12">
                  <c:v>270</c:v>
                </c:pt>
                <c:pt idx="13">
                  <c:v>280</c:v>
                </c:pt>
                <c:pt idx="14">
                  <c:v>290</c:v>
                </c:pt>
                <c:pt idx="15">
                  <c:v>300</c:v>
                </c:pt>
                <c:pt idx="16">
                  <c:v>310</c:v>
                </c:pt>
                <c:pt idx="17">
                  <c:v>320</c:v>
                </c:pt>
                <c:pt idx="18">
                  <c:v>330</c:v>
                </c:pt>
                <c:pt idx="19">
                  <c:v>340</c:v>
                </c:pt>
                <c:pt idx="20">
                  <c:v>350</c:v>
                </c:pt>
                <c:pt idx="21">
                  <c:v>360</c:v>
                </c:pt>
                <c:pt idx="22">
                  <c:v>370</c:v>
                </c:pt>
                <c:pt idx="23">
                  <c:v>380</c:v>
                </c:pt>
                <c:pt idx="24">
                  <c:v>390</c:v>
                </c:pt>
                <c:pt idx="25">
                  <c:v>400</c:v>
                </c:pt>
                <c:pt idx="26">
                  <c:v>410</c:v>
                </c:pt>
                <c:pt idx="27">
                  <c:v>420</c:v>
                </c:pt>
                <c:pt idx="28">
                  <c:v>430</c:v>
                </c:pt>
              </c:numCache>
            </c:numRef>
          </c:xVal>
          <c:yVal>
            <c:numRef>
              <c:f>'Propulsion example'!$Z$36:$Z$64</c:f>
              <c:numCache>
                <c:formatCode>0.0</c:formatCode>
                <c:ptCount val="29"/>
                <c:pt idx="0">
                  <c:v>3.2709050772465869E-4</c:v>
                </c:pt>
                <c:pt idx="1">
                  <c:v>3.0664735099186758E-4</c:v>
                </c:pt>
                <c:pt idx="2">
                  <c:v>2.8860927152175772E-4</c:v>
                </c:pt>
                <c:pt idx="3">
                  <c:v>2.7257542310388228E-4</c:v>
                </c:pt>
                <c:pt idx="4">
                  <c:v>2.5822934820367792E-4</c:v>
                </c:pt>
                <c:pt idx="5">
                  <c:v>2.4531788079349402E-4</c:v>
                </c:pt>
                <c:pt idx="6">
                  <c:v>2.3363607694618476E-4</c:v>
                </c:pt>
                <c:pt idx="7">
                  <c:v>2.2301625526681274E-4</c:v>
                </c:pt>
                <c:pt idx="8">
                  <c:v>2.1331989634216874E-4</c:v>
                </c:pt>
                <c:pt idx="9">
                  <c:v>2.0443156732791165E-4</c:v>
                </c:pt>
                <c:pt idx="10">
                  <c:v>1.9625430463479524E-4</c:v>
                </c:pt>
                <c:pt idx="11">
                  <c:v>1.8870606214884159E-4</c:v>
                </c:pt>
                <c:pt idx="12">
                  <c:v>1.8171694873592148E-4</c:v>
                </c:pt>
                <c:pt idx="13">
                  <c:v>1.7522705770963863E-4</c:v>
                </c:pt>
                <c:pt idx="14">
                  <c:v>1.6918474537482345E-4</c:v>
                </c:pt>
                <c:pt idx="15">
                  <c:v>1.6354525386232934E-4</c:v>
                </c:pt>
                <c:pt idx="16">
                  <c:v>1.5826960051193163E-4</c:v>
                </c:pt>
                <c:pt idx="17">
                  <c:v>1.5332367549593379E-4</c:v>
                </c:pt>
                <c:pt idx="18">
                  <c:v>1.486775035112085E-4</c:v>
                </c:pt>
                <c:pt idx="19">
                  <c:v>1.4430463576087886E-4</c:v>
                </c:pt>
                <c:pt idx="20">
                  <c:v>1.4018164616771086E-4</c:v>
                </c:pt>
                <c:pt idx="21">
                  <c:v>1.3628771155194114E-4</c:v>
                </c:pt>
                <c:pt idx="22">
                  <c:v>1.3260425988837515E-4</c:v>
                </c:pt>
                <c:pt idx="23">
                  <c:v>1.2911467410183899E-4</c:v>
                </c:pt>
                <c:pt idx="24">
                  <c:v>1.2580404143256103E-4</c:v>
                </c:pt>
                <c:pt idx="25">
                  <c:v>1.2265894039674701E-4</c:v>
                </c:pt>
                <c:pt idx="26">
                  <c:v>1.1966725892365563E-4</c:v>
                </c:pt>
                <c:pt idx="27">
                  <c:v>1.1681803847309238E-4</c:v>
                </c:pt>
                <c:pt idx="28">
                  <c:v>1.141013399039507E-4</c:v>
                </c:pt>
              </c:numCache>
            </c:numRef>
          </c:yVal>
          <c:smooth val="1"/>
          <c:extLst>
            <c:ext xmlns:c16="http://schemas.microsoft.com/office/drawing/2014/chart" uri="{C3380CC4-5D6E-409C-BE32-E72D297353CC}">
              <c16:uniqueId val="{00000001-9CE2-47D2-9ECF-593F06FD06F7}"/>
            </c:ext>
          </c:extLst>
        </c:ser>
        <c:dLbls>
          <c:showLegendKey val="0"/>
          <c:showVal val="0"/>
          <c:showCatName val="0"/>
          <c:showSerName val="0"/>
          <c:showPercent val="0"/>
          <c:showBubbleSize val="0"/>
        </c:dLbls>
        <c:axId val="28140288"/>
        <c:axId val="28138112"/>
      </c:scatterChart>
      <c:valAx>
        <c:axId val="27715840"/>
        <c:scaling>
          <c:orientation val="minMax"/>
          <c:min val="150"/>
        </c:scaling>
        <c:delete val="0"/>
        <c:axPos val="b"/>
        <c:title>
          <c:tx>
            <c:rich>
              <a:bodyPr/>
              <a:lstStyle/>
              <a:p>
                <a:pPr>
                  <a:defRPr/>
                </a:pPr>
                <a:r>
                  <a:rPr lang="en-US"/>
                  <a:t>Burn Time (Days)</a:t>
                </a:r>
              </a:p>
            </c:rich>
          </c:tx>
          <c:overlay val="0"/>
        </c:title>
        <c:numFmt formatCode="General" sourceLinked="1"/>
        <c:majorTickMark val="out"/>
        <c:minorTickMark val="none"/>
        <c:tickLblPos val="nextTo"/>
        <c:crossAx val="28136192"/>
        <c:crosses val="autoZero"/>
        <c:crossBetween val="midCat"/>
      </c:valAx>
      <c:valAx>
        <c:axId val="28136192"/>
        <c:scaling>
          <c:orientation val="minMax"/>
        </c:scaling>
        <c:delete val="0"/>
        <c:axPos val="l"/>
        <c:majorGridlines/>
        <c:title>
          <c:tx>
            <c:rich>
              <a:bodyPr rot="-5400000" vert="horz"/>
              <a:lstStyle/>
              <a:p>
                <a:pPr>
                  <a:defRPr/>
                </a:pPr>
                <a:r>
                  <a:rPr lang="en-US"/>
                  <a:t>Mass (kg)</a:t>
                </a:r>
              </a:p>
            </c:rich>
          </c:tx>
          <c:overlay val="0"/>
        </c:title>
        <c:numFmt formatCode="0.0" sourceLinked="1"/>
        <c:majorTickMark val="out"/>
        <c:minorTickMark val="none"/>
        <c:tickLblPos val="nextTo"/>
        <c:crossAx val="27715840"/>
        <c:crosses val="autoZero"/>
        <c:crossBetween val="midCat"/>
      </c:valAx>
      <c:valAx>
        <c:axId val="28138112"/>
        <c:scaling>
          <c:orientation val="minMax"/>
        </c:scaling>
        <c:delete val="0"/>
        <c:axPos val="r"/>
        <c:title>
          <c:tx>
            <c:rich>
              <a:bodyPr rot="-5400000" vert="horz"/>
              <a:lstStyle/>
              <a:p>
                <a:pPr>
                  <a:defRPr>
                    <a:solidFill>
                      <a:srgbClr val="FF0000"/>
                    </a:solidFill>
                  </a:defRPr>
                </a:pPr>
                <a:r>
                  <a:rPr lang="en-US">
                    <a:solidFill>
                      <a:srgbClr val="FF0000"/>
                    </a:solidFill>
                  </a:rPr>
                  <a:t>Power (Watts)</a:t>
                </a:r>
              </a:p>
            </c:rich>
          </c:tx>
          <c:overlay val="0"/>
        </c:title>
        <c:numFmt formatCode="0.0" sourceLinked="1"/>
        <c:majorTickMark val="out"/>
        <c:minorTickMark val="none"/>
        <c:tickLblPos val="nextTo"/>
        <c:txPr>
          <a:bodyPr/>
          <a:lstStyle/>
          <a:p>
            <a:pPr>
              <a:defRPr>
                <a:solidFill>
                  <a:srgbClr val="FF0000"/>
                </a:solidFill>
              </a:defRPr>
            </a:pPr>
            <a:endParaRPr lang="en-US"/>
          </a:p>
        </c:txPr>
        <c:crossAx val="28140288"/>
        <c:crosses val="max"/>
        <c:crossBetween val="midCat"/>
      </c:valAx>
      <c:valAx>
        <c:axId val="28140288"/>
        <c:scaling>
          <c:orientation val="minMax"/>
        </c:scaling>
        <c:delete val="1"/>
        <c:axPos val="b"/>
        <c:numFmt formatCode="General" sourceLinked="1"/>
        <c:majorTickMark val="out"/>
        <c:minorTickMark val="none"/>
        <c:tickLblPos val="nextTo"/>
        <c:crossAx val="28138112"/>
        <c:crosses val="autoZero"/>
        <c:crossBetween val="midCat"/>
      </c:valAx>
    </c:plotArea>
    <c:legend>
      <c:legendPos val="l"/>
      <c:layout>
        <c:manualLayout>
          <c:xMode val="edge"/>
          <c:yMode val="edge"/>
          <c:x val="0.60534013917883922"/>
          <c:y val="0.12833765707082637"/>
          <c:w val="0.23585491125519378"/>
          <c:h val="0.11530111817913861"/>
        </c:manualLayout>
      </c:layout>
      <c:overlay val="1"/>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Electric Propulsion ISP Variation</a:t>
            </a:r>
          </a:p>
        </c:rich>
      </c:tx>
      <c:layout/>
      <c:overlay val="0"/>
    </c:title>
    <c:autoTitleDeleted val="0"/>
    <c:plotArea>
      <c:layout/>
      <c:scatterChart>
        <c:scatterStyle val="smoothMarker"/>
        <c:varyColors val="0"/>
        <c:ser>
          <c:idx val="0"/>
          <c:order val="0"/>
          <c:tx>
            <c:strRef>
              <c:f>'Propulsion Blank'!$I$34:$I$35</c:f>
              <c:strCache>
                <c:ptCount val="2"/>
                <c:pt idx="0">
                  <c:v>Mp</c:v>
                </c:pt>
                <c:pt idx="1">
                  <c:v>I25</c:v>
                </c:pt>
              </c:strCache>
            </c:strRef>
          </c:tx>
          <c:marker>
            <c:symbol val="none"/>
          </c:marker>
          <c:xVal>
            <c:numRef>
              <c:f>'Propulsion Blank'!$H$36:$H$64</c:f>
              <c:numCache>
                <c:formatCode>General</c:formatCode>
                <c:ptCount val="29"/>
                <c:pt idx="0">
                  <c:v>500</c:v>
                </c:pt>
                <c:pt idx="1">
                  <c:v>600</c:v>
                </c:pt>
                <c:pt idx="2">
                  <c:v>700</c:v>
                </c:pt>
                <c:pt idx="3">
                  <c:v>800</c:v>
                </c:pt>
                <c:pt idx="4">
                  <c:v>900</c:v>
                </c:pt>
                <c:pt idx="5">
                  <c:v>1000</c:v>
                </c:pt>
                <c:pt idx="6">
                  <c:v>1100</c:v>
                </c:pt>
                <c:pt idx="7">
                  <c:v>1200</c:v>
                </c:pt>
                <c:pt idx="8">
                  <c:v>1300</c:v>
                </c:pt>
                <c:pt idx="9">
                  <c:v>1400</c:v>
                </c:pt>
                <c:pt idx="10">
                  <c:v>1500</c:v>
                </c:pt>
                <c:pt idx="11">
                  <c:v>1600</c:v>
                </c:pt>
                <c:pt idx="12">
                  <c:v>1700</c:v>
                </c:pt>
                <c:pt idx="13">
                  <c:v>1800</c:v>
                </c:pt>
                <c:pt idx="14">
                  <c:v>1900</c:v>
                </c:pt>
                <c:pt idx="15">
                  <c:v>2000</c:v>
                </c:pt>
                <c:pt idx="16">
                  <c:v>2100</c:v>
                </c:pt>
                <c:pt idx="17">
                  <c:v>2200</c:v>
                </c:pt>
                <c:pt idx="18">
                  <c:v>2300</c:v>
                </c:pt>
                <c:pt idx="19">
                  <c:v>2400</c:v>
                </c:pt>
                <c:pt idx="20">
                  <c:v>2500</c:v>
                </c:pt>
                <c:pt idx="21">
                  <c:v>2600</c:v>
                </c:pt>
                <c:pt idx="22">
                  <c:v>2700</c:v>
                </c:pt>
                <c:pt idx="23">
                  <c:v>2800</c:v>
                </c:pt>
                <c:pt idx="24">
                  <c:v>2900</c:v>
                </c:pt>
                <c:pt idx="25">
                  <c:v>3000</c:v>
                </c:pt>
                <c:pt idx="26">
                  <c:v>3100</c:v>
                </c:pt>
                <c:pt idx="27">
                  <c:v>3200</c:v>
                </c:pt>
                <c:pt idx="28">
                  <c:v>3300</c:v>
                </c:pt>
              </c:numCache>
            </c:numRef>
          </c:xVal>
          <c:yVal>
            <c:numRef>
              <c:f>'Propulsion Blank'!$I$36:$I$64</c:f>
              <c:numCache>
                <c:formatCode>0.0</c:formatCode>
                <c:ptCount val="29"/>
                <c:pt idx="0">
                  <c:v>125.10463669950992</c:v>
                </c:pt>
                <c:pt idx="1">
                  <c:v>96.918825478768611</c:v>
                </c:pt>
                <c:pt idx="2">
                  <c:v>78.977986940942671</c:v>
                </c:pt>
                <c:pt idx="3">
                  <c:v>66.605886409266333</c:v>
                </c:pt>
                <c:pt idx="4">
                  <c:v>57.579130107489092</c:v>
                </c:pt>
                <c:pt idx="5">
                  <c:v>50.712314966662781</c:v>
                </c:pt>
                <c:pt idx="6">
                  <c:v>45.318075272600538</c:v>
                </c:pt>
                <c:pt idx="7">
                  <c:v>40.971380766196361</c:v>
                </c:pt>
                <c:pt idx="8">
                  <c:v>37.395726858689507</c:v>
                </c:pt>
                <c:pt idx="9">
                  <c:v>34.403680713836252</c:v>
                </c:pt>
                <c:pt idx="10">
                  <c:v>31.863795692008392</c:v>
                </c:pt>
                <c:pt idx="11">
                  <c:v>29.681217963659947</c:v>
                </c:pt>
                <c:pt idx="12">
                  <c:v>27.785814055386101</c:v>
                </c:pt>
                <c:pt idx="13">
                  <c:v>26.124629419155376</c:v>
                </c:pt>
                <c:pt idx="14">
                  <c:v>24.656943623734659</c:v>
                </c:pt>
                <c:pt idx="15">
                  <c:v>23.350937427389074</c:v>
                </c:pt>
                <c:pt idx="16">
                  <c:v>22.181391264274559</c:v>
                </c:pt>
                <c:pt idx="17">
                  <c:v>21.128061571669118</c:v>
                </c:pt>
                <c:pt idx="18">
                  <c:v>20.174513266107397</c:v>
                </c:pt>
                <c:pt idx="19">
                  <c:v>19.307265742905386</c:v>
                </c:pt>
                <c:pt idx="20">
                  <c:v>18.515158502812827</c:v>
                </c:pt>
                <c:pt idx="21">
                  <c:v>17.788873294520716</c:v>
                </c:pt>
                <c:pt idx="22">
                  <c:v>17.120569549583312</c:v>
                </c:pt>
                <c:pt idx="23">
                  <c:v>16.503602997161291</c:v>
                </c:pt>
                <c:pt idx="24">
                  <c:v>15.932306150125909</c:v>
                </c:pt>
                <c:pt idx="25">
                  <c:v>15.401815366811537</c:v>
                </c:pt>
                <c:pt idx="26">
                  <c:v>14.907933363237051</c:v>
                </c:pt>
                <c:pt idx="27">
                  <c:v>14.447018984992438</c:v>
                </c:pt>
                <c:pt idx="28">
                  <c:v>14.015898140060189</c:v>
                </c:pt>
              </c:numCache>
            </c:numRef>
          </c:yVal>
          <c:smooth val="1"/>
          <c:extLst>
            <c:ext xmlns:c16="http://schemas.microsoft.com/office/drawing/2014/chart" uri="{C3380CC4-5D6E-409C-BE32-E72D297353CC}">
              <c16:uniqueId val="{00000000-B53B-43A6-B33A-7E33D477FF98}"/>
            </c:ext>
          </c:extLst>
        </c:ser>
        <c:ser>
          <c:idx val="1"/>
          <c:order val="1"/>
          <c:tx>
            <c:strRef>
              <c:f>'Propulsion Blank'!$J$34:$J$35</c:f>
              <c:strCache>
                <c:ptCount val="2"/>
                <c:pt idx="0">
                  <c:v>Mw</c:v>
                </c:pt>
                <c:pt idx="1">
                  <c:v>I26</c:v>
                </c:pt>
              </c:strCache>
            </c:strRef>
          </c:tx>
          <c:marker>
            <c:symbol val="none"/>
          </c:marker>
          <c:xVal>
            <c:numRef>
              <c:f>'Propulsion Blank'!$H$36:$H$64</c:f>
              <c:numCache>
                <c:formatCode>General</c:formatCode>
                <c:ptCount val="29"/>
                <c:pt idx="0">
                  <c:v>500</c:v>
                </c:pt>
                <c:pt idx="1">
                  <c:v>600</c:v>
                </c:pt>
                <c:pt idx="2">
                  <c:v>700</c:v>
                </c:pt>
                <c:pt idx="3">
                  <c:v>800</c:v>
                </c:pt>
                <c:pt idx="4">
                  <c:v>900</c:v>
                </c:pt>
                <c:pt idx="5">
                  <c:v>1000</c:v>
                </c:pt>
                <c:pt idx="6">
                  <c:v>1100</c:v>
                </c:pt>
                <c:pt idx="7">
                  <c:v>1200</c:v>
                </c:pt>
                <c:pt idx="8">
                  <c:v>1300</c:v>
                </c:pt>
                <c:pt idx="9">
                  <c:v>1400</c:v>
                </c:pt>
                <c:pt idx="10">
                  <c:v>1500</c:v>
                </c:pt>
                <c:pt idx="11">
                  <c:v>1600</c:v>
                </c:pt>
                <c:pt idx="12">
                  <c:v>1700</c:v>
                </c:pt>
                <c:pt idx="13">
                  <c:v>1800</c:v>
                </c:pt>
                <c:pt idx="14">
                  <c:v>1900</c:v>
                </c:pt>
                <c:pt idx="15">
                  <c:v>2000</c:v>
                </c:pt>
                <c:pt idx="16">
                  <c:v>2100</c:v>
                </c:pt>
                <c:pt idx="17">
                  <c:v>2200</c:v>
                </c:pt>
                <c:pt idx="18">
                  <c:v>2300</c:v>
                </c:pt>
                <c:pt idx="19">
                  <c:v>2400</c:v>
                </c:pt>
                <c:pt idx="20">
                  <c:v>2500</c:v>
                </c:pt>
                <c:pt idx="21">
                  <c:v>2600</c:v>
                </c:pt>
                <c:pt idx="22">
                  <c:v>2700</c:v>
                </c:pt>
                <c:pt idx="23">
                  <c:v>2800</c:v>
                </c:pt>
                <c:pt idx="24">
                  <c:v>2900</c:v>
                </c:pt>
                <c:pt idx="25">
                  <c:v>3000</c:v>
                </c:pt>
                <c:pt idx="26">
                  <c:v>3100</c:v>
                </c:pt>
                <c:pt idx="27">
                  <c:v>3200</c:v>
                </c:pt>
                <c:pt idx="28">
                  <c:v>3300</c:v>
                </c:pt>
              </c:numCache>
            </c:numRef>
          </c:xVal>
          <c:yVal>
            <c:numRef>
              <c:f>'Propulsion Blank'!$J$36:$J$64</c:f>
              <c:numCache>
                <c:formatCode>0.0</c:formatCode>
                <c:ptCount val="29"/>
                <c:pt idx="0">
                  <c:v>1.7418377210471219</c:v>
                </c:pt>
                <c:pt idx="1">
                  <c:v>1.9431437043036088</c:v>
                </c:pt>
                <c:pt idx="2">
                  <c:v>2.1552438599728898</c:v>
                </c:pt>
                <c:pt idx="3">
                  <c:v>2.3740336092854797</c:v>
                </c:pt>
                <c:pt idx="4">
                  <c:v>2.597433245126874</c:v>
                </c:pt>
                <c:pt idx="5">
                  <c:v>2.8242797536824398</c:v>
                </c:pt>
                <c:pt idx="6">
                  <c:v>3.0538739217171464</c:v>
                </c:pt>
                <c:pt idx="7">
                  <c:v>3.2857715804614576</c:v>
                </c:pt>
                <c:pt idx="8">
                  <c:v>3.5196782159328377</c:v>
                </c:pt>
                <c:pt idx="9">
                  <c:v>3.7553918245300002</c:v>
                </c:pt>
                <c:pt idx="10">
                  <c:v>3.9927700893173026</c:v>
                </c:pt>
                <c:pt idx="11">
                  <c:v>4.2317106075149251</c:v>
                </c:pt>
                <c:pt idx="12">
                  <c:v>4.4721384943546978</c:v>
                </c:pt>
                <c:pt idx="13">
                  <c:v>4.7139983423339604</c:v>
                </c:pt>
                <c:pt idx="14">
                  <c:v>4.9572488501665557</c:v>
                </c:pt>
                <c:pt idx="15">
                  <c:v>5.2018591420276792</c:v>
                </c:pt>
                <c:pt idx="16">
                  <c:v>5.4478061877367079</c:v>
                </c:pt>
                <c:pt idx="17">
                  <c:v>5.6950729581549542</c:v>
                </c:pt>
                <c:pt idx="18">
                  <c:v>5.9436470825922667</c:v>
                </c:pt>
                <c:pt idx="19">
                  <c:v>6.1935198558693889</c:v>
                </c:pt>
                <c:pt idx="20">
                  <c:v>6.4446854933179454</c:v>
                </c:pt>
                <c:pt idx="21">
                  <c:v>6.6971405644616055</c:v>
                </c:pt>
                <c:pt idx="22">
                  <c:v>6.9508835573793242</c:v>
                </c:pt>
                <c:pt idx="23">
                  <c:v>7.2059145399407933</c:v>
                </c:pt>
                <c:pt idx="24">
                  <c:v>7.4622348937440108</c:v>
                </c:pt>
                <c:pt idx="25">
                  <c:v>7.7198471032396441</c:v>
                </c:pt>
                <c:pt idx="26">
                  <c:v>7.9787545871889032</c:v>
                </c:pt>
                <c:pt idx="27">
                  <c:v>8.2389615629133655</c:v>
                </c:pt>
                <c:pt idx="28">
                  <c:v>8.5004729361767826</c:v>
                </c:pt>
              </c:numCache>
            </c:numRef>
          </c:yVal>
          <c:smooth val="1"/>
          <c:extLst>
            <c:ext xmlns:c16="http://schemas.microsoft.com/office/drawing/2014/chart" uri="{C3380CC4-5D6E-409C-BE32-E72D297353CC}">
              <c16:uniqueId val="{00000001-B53B-43A6-B33A-7E33D477FF98}"/>
            </c:ext>
          </c:extLst>
        </c:ser>
        <c:ser>
          <c:idx val="2"/>
          <c:order val="2"/>
          <c:tx>
            <c:strRef>
              <c:f>'Propulsion Blank'!$K$34:$K$35</c:f>
              <c:strCache>
                <c:ptCount val="2"/>
                <c:pt idx="0">
                  <c:v>Total M</c:v>
                </c:pt>
                <c:pt idx="1">
                  <c:v>I27</c:v>
                </c:pt>
              </c:strCache>
            </c:strRef>
          </c:tx>
          <c:marker>
            <c:symbol val="none"/>
          </c:marker>
          <c:xVal>
            <c:numRef>
              <c:f>'Propulsion Blank'!$H$36:$H$64</c:f>
              <c:numCache>
                <c:formatCode>General</c:formatCode>
                <c:ptCount val="29"/>
                <c:pt idx="0">
                  <c:v>500</c:v>
                </c:pt>
                <c:pt idx="1">
                  <c:v>600</c:v>
                </c:pt>
                <c:pt idx="2">
                  <c:v>700</c:v>
                </c:pt>
                <c:pt idx="3">
                  <c:v>800</c:v>
                </c:pt>
                <c:pt idx="4">
                  <c:v>900</c:v>
                </c:pt>
                <c:pt idx="5">
                  <c:v>1000</c:v>
                </c:pt>
                <c:pt idx="6">
                  <c:v>1100</c:v>
                </c:pt>
                <c:pt idx="7">
                  <c:v>1200</c:v>
                </c:pt>
                <c:pt idx="8">
                  <c:v>1300</c:v>
                </c:pt>
                <c:pt idx="9">
                  <c:v>1400</c:v>
                </c:pt>
                <c:pt idx="10">
                  <c:v>1500</c:v>
                </c:pt>
                <c:pt idx="11">
                  <c:v>1600</c:v>
                </c:pt>
                <c:pt idx="12">
                  <c:v>1700</c:v>
                </c:pt>
                <c:pt idx="13">
                  <c:v>1800</c:v>
                </c:pt>
                <c:pt idx="14">
                  <c:v>1900</c:v>
                </c:pt>
                <c:pt idx="15">
                  <c:v>2000</c:v>
                </c:pt>
                <c:pt idx="16">
                  <c:v>2100</c:v>
                </c:pt>
                <c:pt idx="17">
                  <c:v>2200</c:v>
                </c:pt>
                <c:pt idx="18">
                  <c:v>2300</c:v>
                </c:pt>
                <c:pt idx="19">
                  <c:v>2400</c:v>
                </c:pt>
                <c:pt idx="20">
                  <c:v>2500</c:v>
                </c:pt>
                <c:pt idx="21">
                  <c:v>2600</c:v>
                </c:pt>
                <c:pt idx="22">
                  <c:v>2700</c:v>
                </c:pt>
                <c:pt idx="23">
                  <c:v>2800</c:v>
                </c:pt>
                <c:pt idx="24">
                  <c:v>2900</c:v>
                </c:pt>
                <c:pt idx="25">
                  <c:v>3000</c:v>
                </c:pt>
                <c:pt idx="26">
                  <c:v>3100</c:v>
                </c:pt>
                <c:pt idx="27">
                  <c:v>3200</c:v>
                </c:pt>
                <c:pt idx="28">
                  <c:v>3300</c:v>
                </c:pt>
              </c:numCache>
            </c:numRef>
          </c:xVal>
          <c:yVal>
            <c:numRef>
              <c:f>'Propulsion Blank'!$K$36:$K$64</c:f>
              <c:numCache>
                <c:formatCode>0.0</c:formatCode>
                <c:ptCount val="29"/>
                <c:pt idx="0">
                  <c:v>226.84647442055706</c:v>
                </c:pt>
                <c:pt idx="1">
                  <c:v>198.86196918307223</c:v>
                </c:pt>
                <c:pt idx="2">
                  <c:v>181.13323080091556</c:v>
                </c:pt>
                <c:pt idx="3">
                  <c:v>168.97992001855181</c:v>
                </c:pt>
                <c:pt idx="4">
                  <c:v>160.17656335261597</c:v>
                </c:pt>
                <c:pt idx="5">
                  <c:v>153.53659472034522</c:v>
                </c:pt>
                <c:pt idx="6">
                  <c:v>148.37194919431766</c:v>
                </c:pt>
                <c:pt idx="7">
                  <c:v>144.25715234665782</c:v>
                </c:pt>
                <c:pt idx="8">
                  <c:v>140.91540507462236</c:v>
                </c:pt>
                <c:pt idx="9">
                  <c:v>138.15907253836625</c:v>
                </c:pt>
                <c:pt idx="10">
                  <c:v>135.85656578132568</c:v>
                </c:pt>
                <c:pt idx="11">
                  <c:v>133.91292857117486</c:v>
                </c:pt>
                <c:pt idx="12">
                  <c:v>132.25795254974079</c:v>
                </c:pt>
                <c:pt idx="13">
                  <c:v>130.83862776148933</c:v>
                </c:pt>
                <c:pt idx="14">
                  <c:v>129.6141924739012</c:v>
                </c:pt>
                <c:pt idx="15">
                  <c:v>128.55279656941676</c:v>
                </c:pt>
                <c:pt idx="16">
                  <c:v>127.62919745201125</c:v>
                </c:pt>
                <c:pt idx="17">
                  <c:v>126.82313452982407</c:v>
                </c:pt>
                <c:pt idx="18">
                  <c:v>126.11816034869966</c:v>
                </c:pt>
                <c:pt idx="19">
                  <c:v>125.50078559877477</c:v>
                </c:pt>
                <c:pt idx="20">
                  <c:v>124.95984399613077</c:v>
                </c:pt>
                <c:pt idx="21">
                  <c:v>124.48601385898232</c:v>
                </c:pt>
                <c:pt idx="22">
                  <c:v>124.07145310696264</c:v>
                </c:pt>
                <c:pt idx="23">
                  <c:v>123.70951753710209</c:v>
                </c:pt>
                <c:pt idx="24">
                  <c:v>123.39454104386992</c:v>
                </c:pt>
                <c:pt idx="25">
                  <c:v>123.12166247005118</c:v>
                </c:pt>
                <c:pt idx="26">
                  <c:v>122.88668795042595</c:v>
                </c:pt>
                <c:pt idx="27">
                  <c:v>122.6859805479058</c:v>
                </c:pt>
                <c:pt idx="28">
                  <c:v>122.51637107623696</c:v>
                </c:pt>
              </c:numCache>
            </c:numRef>
          </c:yVal>
          <c:smooth val="1"/>
          <c:extLst>
            <c:ext xmlns:c16="http://schemas.microsoft.com/office/drawing/2014/chart" uri="{C3380CC4-5D6E-409C-BE32-E72D297353CC}">
              <c16:uniqueId val="{00000002-B53B-43A6-B33A-7E33D477FF98}"/>
            </c:ext>
          </c:extLst>
        </c:ser>
        <c:dLbls>
          <c:showLegendKey val="0"/>
          <c:showVal val="0"/>
          <c:showCatName val="0"/>
          <c:showSerName val="0"/>
          <c:showPercent val="0"/>
          <c:showBubbleSize val="0"/>
        </c:dLbls>
        <c:axId val="28418432"/>
        <c:axId val="28420736"/>
      </c:scatterChart>
      <c:scatterChart>
        <c:scatterStyle val="smoothMarker"/>
        <c:varyColors val="0"/>
        <c:ser>
          <c:idx val="3"/>
          <c:order val="3"/>
          <c:tx>
            <c:strRef>
              <c:f>'Propulsion Blank'!$L$34:$L$35</c:f>
              <c:strCache>
                <c:ptCount val="2"/>
                <c:pt idx="0">
                  <c:v>Power</c:v>
                </c:pt>
                <c:pt idx="1">
                  <c:v>I30</c:v>
                </c:pt>
              </c:strCache>
            </c:strRef>
          </c:tx>
          <c:spPr>
            <a:ln>
              <a:solidFill>
                <a:srgbClr val="FF0000"/>
              </a:solidFill>
            </a:ln>
          </c:spPr>
          <c:marker>
            <c:symbol val="circle"/>
            <c:size val="5"/>
            <c:spPr>
              <a:solidFill>
                <a:srgbClr val="FF0000"/>
              </a:solidFill>
              <a:ln>
                <a:solidFill>
                  <a:schemeClr val="tx1"/>
                </a:solidFill>
              </a:ln>
            </c:spPr>
          </c:marker>
          <c:xVal>
            <c:numRef>
              <c:f>'Propulsion Blank'!$H$36:$H$64</c:f>
              <c:numCache>
                <c:formatCode>General</c:formatCode>
                <c:ptCount val="29"/>
                <c:pt idx="0">
                  <c:v>500</c:v>
                </c:pt>
                <c:pt idx="1">
                  <c:v>600</c:v>
                </c:pt>
                <c:pt idx="2">
                  <c:v>700</c:v>
                </c:pt>
                <c:pt idx="3">
                  <c:v>800</c:v>
                </c:pt>
                <c:pt idx="4">
                  <c:v>900</c:v>
                </c:pt>
                <c:pt idx="5">
                  <c:v>1000</c:v>
                </c:pt>
                <c:pt idx="6">
                  <c:v>1100</c:v>
                </c:pt>
                <c:pt idx="7">
                  <c:v>1200</c:v>
                </c:pt>
                <c:pt idx="8">
                  <c:v>1300</c:v>
                </c:pt>
                <c:pt idx="9">
                  <c:v>1400</c:v>
                </c:pt>
                <c:pt idx="10">
                  <c:v>1500</c:v>
                </c:pt>
                <c:pt idx="11">
                  <c:v>1600</c:v>
                </c:pt>
                <c:pt idx="12">
                  <c:v>1700</c:v>
                </c:pt>
                <c:pt idx="13">
                  <c:v>1800</c:v>
                </c:pt>
                <c:pt idx="14">
                  <c:v>1900</c:v>
                </c:pt>
                <c:pt idx="15">
                  <c:v>2000</c:v>
                </c:pt>
                <c:pt idx="16">
                  <c:v>2100</c:v>
                </c:pt>
                <c:pt idx="17">
                  <c:v>2200</c:v>
                </c:pt>
                <c:pt idx="18">
                  <c:v>2300</c:v>
                </c:pt>
                <c:pt idx="19">
                  <c:v>2400</c:v>
                </c:pt>
                <c:pt idx="20">
                  <c:v>2500</c:v>
                </c:pt>
                <c:pt idx="21">
                  <c:v>2600</c:v>
                </c:pt>
                <c:pt idx="22">
                  <c:v>2700</c:v>
                </c:pt>
                <c:pt idx="23">
                  <c:v>2800</c:v>
                </c:pt>
                <c:pt idx="24">
                  <c:v>2900</c:v>
                </c:pt>
                <c:pt idx="25">
                  <c:v>3000</c:v>
                </c:pt>
                <c:pt idx="26">
                  <c:v>3100</c:v>
                </c:pt>
                <c:pt idx="27">
                  <c:v>3200</c:v>
                </c:pt>
                <c:pt idx="28">
                  <c:v>3300</c:v>
                </c:pt>
              </c:numCache>
            </c:numRef>
          </c:xVal>
          <c:yVal>
            <c:numRef>
              <c:f>'Propulsion Blank'!$L$36:$L$64</c:f>
              <c:numCache>
                <c:formatCode>0.0</c:formatCode>
                <c:ptCount val="29"/>
                <c:pt idx="0">
                  <c:v>1.043627192860541E-4</c:v>
                </c:pt>
                <c:pt idx="1">
                  <c:v>1.1067299616353099E-4</c:v>
                </c:pt>
                <c:pt idx="2">
                  <c:v>1.1551542400257122E-4</c:v>
                </c:pt>
                <c:pt idx="3">
                  <c:v>1.1934425268814602E-4</c:v>
                </c:pt>
                <c:pt idx="4">
                  <c:v>1.2244544883690164E-4</c:v>
                </c:pt>
                <c:pt idx="5">
                  <c:v>1.250073480815764E-4</c:v>
                </c:pt>
                <c:pt idx="6">
                  <c:v>1.2715877915758439E-4</c:v>
                </c:pt>
                <c:pt idx="7">
                  <c:v>1.2899073029390277E-4</c:v>
                </c:pt>
                <c:pt idx="8">
                  <c:v>1.3056923754948659E-4</c:v>
                </c:pt>
                <c:pt idx="9">
                  <c:v>1.3194336176716162E-4</c:v>
                </c:pt>
                <c:pt idx="10">
                  <c:v>1.3315029893439586E-4</c:v>
                </c:pt>
                <c:pt idx="11">
                  <c:v>1.3421875412123954E-4</c:v>
                </c:pt>
                <c:pt idx="12">
                  <c:v>1.3517122865884919E-4</c:v>
                </c:pt>
                <c:pt idx="13">
                  <c:v>1.3602560724072373E-4</c:v>
                </c:pt>
                <c:pt idx="14">
                  <c:v>1.3679628233526778E-4</c:v>
                </c:pt>
                <c:pt idx="15">
                  <c:v>1.3749496572552236E-4</c:v>
                </c:pt>
                <c:pt idx="16">
                  <c:v>1.3813128409388426E-4</c:v>
                </c:pt>
                <c:pt idx="17">
                  <c:v>1.387132227620002E-4</c:v>
                </c:pt>
                <c:pt idx="18">
                  <c:v>1.3924746085748323E-4</c:v>
                </c:pt>
                <c:pt idx="19">
                  <c:v>1.3973962765358926E-4</c:v>
                </c:pt>
                <c:pt idx="20">
                  <c:v>1.4019450087448136E-4</c:v>
                </c:pt>
                <c:pt idx="21">
                  <c:v>1.4061616172405554E-4</c:v>
                </c:pt>
                <c:pt idx="22">
                  <c:v>1.4100811726125144E-4</c:v>
                </c:pt>
                <c:pt idx="23">
                  <c:v>1.4137339786795178E-4</c:v>
                </c:pt>
                <c:pt idx="24">
                  <c:v>1.4171463552585759E-4</c:v>
                </c:pt>
                <c:pt idx="25">
                  <c:v>1.4203412716794943E-4</c:v>
                </c:pt>
                <c:pt idx="26">
                  <c:v>1.4233388632057511E-4</c:v>
                </c:pt>
                <c:pt idx="27">
                  <c:v>1.4261568548433608E-4</c:v>
                </c:pt>
                <c:pt idx="28">
                  <c:v>1.4288109113423314E-4</c:v>
                </c:pt>
              </c:numCache>
            </c:numRef>
          </c:yVal>
          <c:smooth val="1"/>
          <c:extLst>
            <c:ext xmlns:c16="http://schemas.microsoft.com/office/drawing/2014/chart" uri="{C3380CC4-5D6E-409C-BE32-E72D297353CC}">
              <c16:uniqueId val="{00000003-B53B-43A6-B33A-7E33D477FF98}"/>
            </c:ext>
          </c:extLst>
        </c:ser>
        <c:dLbls>
          <c:showLegendKey val="0"/>
          <c:showVal val="0"/>
          <c:showCatName val="0"/>
          <c:showSerName val="0"/>
          <c:showPercent val="0"/>
          <c:showBubbleSize val="0"/>
        </c:dLbls>
        <c:axId val="28424832"/>
        <c:axId val="28422912"/>
      </c:scatterChart>
      <c:valAx>
        <c:axId val="28418432"/>
        <c:scaling>
          <c:orientation val="minMax"/>
        </c:scaling>
        <c:delete val="0"/>
        <c:axPos val="b"/>
        <c:title>
          <c:tx>
            <c:rich>
              <a:bodyPr/>
              <a:lstStyle/>
              <a:p>
                <a:pPr>
                  <a:defRPr/>
                </a:pPr>
                <a:r>
                  <a:rPr lang="en-US"/>
                  <a:t>ISP (s)</a:t>
                </a:r>
              </a:p>
            </c:rich>
          </c:tx>
          <c:layout/>
          <c:overlay val="0"/>
        </c:title>
        <c:numFmt formatCode="General" sourceLinked="1"/>
        <c:majorTickMark val="out"/>
        <c:minorTickMark val="none"/>
        <c:tickLblPos val="nextTo"/>
        <c:crossAx val="28420736"/>
        <c:crosses val="autoZero"/>
        <c:crossBetween val="midCat"/>
      </c:valAx>
      <c:valAx>
        <c:axId val="28420736"/>
        <c:scaling>
          <c:orientation val="minMax"/>
        </c:scaling>
        <c:delete val="0"/>
        <c:axPos val="l"/>
        <c:majorGridlines/>
        <c:title>
          <c:tx>
            <c:rich>
              <a:bodyPr rot="-5400000" vert="horz"/>
              <a:lstStyle/>
              <a:p>
                <a:pPr>
                  <a:defRPr/>
                </a:pPr>
                <a:r>
                  <a:rPr lang="en-US"/>
                  <a:t>Mass (kg)</a:t>
                </a:r>
              </a:p>
            </c:rich>
          </c:tx>
          <c:layout/>
          <c:overlay val="0"/>
        </c:title>
        <c:numFmt formatCode="0.0" sourceLinked="1"/>
        <c:majorTickMark val="out"/>
        <c:minorTickMark val="none"/>
        <c:tickLblPos val="nextTo"/>
        <c:crossAx val="28418432"/>
        <c:crosses val="autoZero"/>
        <c:crossBetween val="midCat"/>
      </c:valAx>
      <c:valAx>
        <c:axId val="28422912"/>
        <c:scaling>
          <c:orientation val="minMax"/>
        </c:scaling>
        <c:delete val="0"/>
        <c:axPos val="r"/>
        <c:title>
          <c:tx>
            <c:rich>
              <a:bodyPr rot="-5400000" vert="horz"/>
              <a:lstStyle/>
              <a:p>
                <a:pPr>
                  <a:defRPr>
                    <a:solidFill>
                      <a:srgbClr val="FF0000"/>
                    </a:solidFill>
                  </a:defRPr>
                </a:pPr>
                <a:r>
                  <a:rPr lang="en-US">
                    <a:solidFill>
                      <a:srgbClr val="FF0000"/>
                    </a:solidFill>
                  </a:rPr>
                  <a:t>Power (Watts)</a:t>
                </a:r>
              </a:p>
            </c:rich>
          </c:tx>
          <c:layout/>
          <c:overlay val="0"/>
        </c:title>
        <c:numFmt formatCode="0.0" sourceLinked="1"/>
        <c:majorTickMark val="out"/>
        <c:minorTickMark val="none"/>
        <c:tickLblPos val="nextTo"/>
        <c:txPr>
          <a:bodyPr/>
          <a:lstStyle/>
          <a:p>
            <a:pPr>
              <a:defRPr>
                <a:solidFill>
                  <a:srgbClr val="FF0000"/>
                </a:solidFill>
              </a:defRPr>
            </a:pPr>
            <a:endParaRPr lang="en-US"/>
          </a:p>
        </c:txPr>
        <c:crossAx val="28424832"/>
        <c:crosses val="max"/>
        <c:crossBetween val="midCat"/>
      </c:valAx>
      <c:valAx>
        <c:axId val="28424832"/>
        <c:scaling>
          <c:orientation val="minMax"/>
        </c:scaling>
        <c:delete val="1"/>
        <c:axPos val="b"/>
        <c:numFmt formatCode="General" sourceLinked="1"/>
        <c:majorTickMark val="out"/>
        <c:minorTickMark val="none"/>
        <c:tickLblPos val="nextTo"/>
        <c:crossAx val="28422912"/>
        <c:crosses val="autoZero"/>
        <c:crossBetween val="midCat"/>
      </c:valAx>
    </c:plotArea>
    <c:legend>
      <c:legendPos val="l"/>
      <c:layout>
        <c:manualLayout>
          <c:xMode val="edge"/>
          <c:yMode val="edge"/>
          <c:x val="0.14002185774275394"/>
          <c:y val="0.14396073413522778"/>
          <c:w val="0.19081758235094576"/>
          <c:h val="0.24140717573850157"/>
        </c:manualLayout>
      </c:layout>
      <c:overlay val="1"/>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Electric Propulsion Burn Time Variation</a:t>
            </a:r>
          </a:p>
        </c:rich>
      </c:tx>
      <c:layout/>
      <c:overlay val="0"/>
    </c:title>
    <c:autoTitleDeleted val="0"/>
    <c:plotArea>
      <c:layout/>
      <c:scatterChart>
        <c:scatterStyle val="smoothMarker"/>
        <c:varyColors val="0"/>
        <c:ser>
          <c:idx val="0"/>
          <c:order val="0"/>
          <c:tx>
            <c:strRef>
              <c:f>'Propulsion Blank'!$P$34:$P$35</c:f>
              <c:strCache>
                <c:ptCount val="2"/>
                <c:pt idx="0">
                  <c:v>Mp</c:v>
                </c:pt>
                <c:pt idx="1">
                  <c:v>I25</c:v>
                </c:pt>
              </c:strCache>
            </c:strRef>
          </c:tx>
          <c:marker>
            <c:symbol val="none"/>
          </c:marker>
          <c:xVal>
            <c:numRef>
              <c:f>'Propulsion Blank'!$O$36:$O$64</c:f>
              <c:numCache>
                <c:formatCode>General</c:formatCode>
                <c:ptCount val="29"/>
                <c:pt idx="0">
                  <c:v>150</c:v>
                </c:pt>
                <c:pt idx="1">
                  <c:v>160</c:v>
                </c:pt>
                <c:pt idx="2">
                  <c:v>170</c:v>
                </c:pt>
                <c:pt idx="3">
                  <c:v>180</c:v>
                </c:pt>
                <c:pt idx="4">
                  <c:v>190</c:v>
                </c:pt>
                <c:pt idx="5">
                  <c:v>200</c:v>
                </c:pt>
                <c:pt idx="6">
                  <c:v>210</c:v>
                </c:pt>
                <c:pt idx="7">
                  <c:v>220</c:v>
                </c:pt>
                <c:pt idx="8">
                  <c:v>230</c:v>
                </c:pt>
                <c:pt idx="9">
                  <c:v>240</c:v>
                </c:pt>
                <c:pt idx="10">
                  <c:v>250</c:v>
                </c:pt>
                <c:pt idx="11">
                  <c:v>260</c:v>
                </c:pt>
                <c:pt idx="12">
                  <c:v>270</c:v>
                </c:pt>
                <c:pt idx="13">
                  <c:v>280</c:v>
                </c:pt>
                <c:pt idx="14">
                  <c:v>290</c:v>
                </c:pt>
                <c:pt idx="15">
                  <c:v>300</c:v>
                </c:pt>
                <c:pt idx="16">
                  <c:v>310</c:v>
                </c:pt>
                <c:pt idx="17">
                  <c:v>320</c:v>
                </c:pt>
                <c:pt idx="18">
                  <c:v>330</c:v>
                </c:pt>
                <c:pt idx="19">
                  <c:v>340</c:v>
                </c:pt>
                <c:pt idx="20">
                  <c:v>350</c:v>
                </c:pt>
                <c:pt idx="21">
                  <c:v>360</c:v>
                </c:pt>
                <c:pt idx="22">
                  <c:v>370</c:v>
                </c:pt>
                <c:pt idx="23">
                  <c:v>380</c:v>
                </c:pt>
                <c:pt idx="24">
                  <c:v>390</c:v>
                </c:pt>
                <c:pt idx="25">
                  <c:v>400</c:v>
                </c:pt>
                <c:pt idx="26">
                  <c:v>410</c:v>
                </c:pt>
                <c:pt idx="27">
                  <c:v>420</c:v>
                </c:pt>
                <c:pt idx="28">
                  <c:v>430</c:v>
                </c:pt>
              </c:numCache>
            </c:numRef>
          </c:xVal>
          <c:yVal>
            <c:numRef>
              <c:f>'Propulsion Blank'!$P$36:$P$64</c:f>
              <c:numCache>
                <c:formatCode>0.0</c:formatCode>
                <c:ptCount val="29"/>
                <c:pt idx="0">
                  <c:v>33.188954333597451</c:v>
                </c:pt>
                <c:pt idx="1">
                  <c:v>33.017312911973264</c:v>
                </c:pt>
                <c:pt idx="2">
                  <c:v>32.867332229381738</c:v>
                </c:pt>
                <c:pt idx="3">
                  <c:v>32.73515535309501</c:v>
                </c:pt>
                <c:pt idx="4">
                  <c:v>32.61778973817065</c:v>
                </c:pt>
                <c:pt idx="5">
                  <c:v>32.512877924480854</c:v>
                </c:pt>
                <c:pt idx="6">
                  <c:v>32.418537550890996</c:v>
                </c:pt>
                <c:pt idx="7">
                  <c:v>32.333247412588314</c:v>
                </c:pt>
                <c:pt idx="8">
                  <c:v>32.255764809651964</c:v>
                </c:pt>
                <c:pt idx="9">
                  <c:v>32.185064600153993</c:v>
                </c:pt>
                <c:pt idx="10">
                  <c:v>32.120293586996894</c:v>
                </c:pt>
                <c:pt idx="11">
                  <c:v>32.060735918805477</c:v>
                </c:pt>
                <c:pt idx="12">
                  <c:v>32.005786522131324</c:v>
                </c:pt>
                <c:pt idx="13">
                  <c:v>31.954930471001841</c:v>
                </c:pt>
                <c:pt idx="14">
                  <c:v>31.907726801384488</c:v>
                </c:pt>
                <c:pt idx="15">
                  <c:v>31.863795692008392</c:v>
                </c:pt>
                <c:pt idx="16">
                  <c:v>31.822808222064154</c:v>
                </c:pt>
                <c:pt idx="17">
                  <c:v>31.784478121041982</c:v>
                </c:pt>
                <c:pt idx="18">
                  <c:v>31.748555072850284</c:v>
                </c:pt>
                <c:pt idx="19">
                  <c:v>31.714819242994821</c:v>
                </c:pt>
                <c:pt idx="20">
                  <c:v>31.68307677588227</c:v>
                </c:pt>
                <c:pt idx="21">
                  <c:v>31.653156067377861</c:v>
                </c:pt>
                <c:pt idx="22">
                  <c:v>31.624904661234815</c:v>
                </c:pt>
                <c:pt idx="23">
                  <c:v>31.598186650879345</c:v>
                </c:pt>
                <c:pt idx="24">
                  <c:v>31.572880493085968</c:v>
                </c:pt>
                <c:pt idx="25">
                  <c:v>31.548877159325144</c:v>
                </c:pt>
                <c:pt idx="26">
                  <c:v>31.526078565465408</c:v>
                </c:pt>
                <c:pt idx="27">
                  <c:v>31.504396232129402</c:v>
                </c:pt>
                <c:pt idx="28">
                  <c:v>31.483750137121991</c:v>
                </c:pt>
              </c:numCache>
            </c:numRef>
          </c:yVal>
          <c:smooth val="1"/>
          <c:extLst>
            <c:ext xmlns:c16="http://schemas.microsoft.com/office/drawing/2014/chart" uri="{C3380CC4-5D6E-409C-BE32-E72D297353CC}">
              <c16:uniqueId val="{00000000-D90D-4B03-A16B-7D5CE1BB489C}"/>
            </c:ext>
          </c:extLst>
        </c:ser>
        <c:ser>
          <c:idx val="1"/>
          <c:order val="1"/>
          <c:tx>
            <c:strRef>
              <c:f>'Propulsion Blank'!$Q$34:$Q$35</c:f>
              <c:strCache>
                <c:ptCount val="2"/>
                <c:pt idx="0">
                  <c:v>Mw</c:v>
                </c:pt>
                <c:pt idx="1">
                  <c:v>I26</c:v>
                </c:pt>
              </c:strCache>
            </c:strRef>
          </c:tx>
          <c:marker>
            <c:symbol val="none"/>
          </c:marker>
          <c:xVal>
            <c:numRef>
              <c:f>'Propulsion Blank'!$O$36:$O$64</c:f>
              <c:numCache>
                <c:formatCode>General</c:formatCode>
                <c:ptCount val="29"/>
                <c:pt idx="0">
                  <c:v>150</c:v>
                </c:pt>
                <c:pt idx="1">
                  <c:v>160</c:v>
                </c:pt>
                <c:pt idx="2">
                  <c:v>170</c:v>
                </c:pt>
                <c:pt idx="3">
                  <c:v>180</c:v>
                </c:pt>
                <c:pt idx="4">
                  <c:v>190</c:v>
                </c:pt>
                <c:pt idx="5">
                  <c:v>200</c:v>
                </c:pt>
                <c:pt idx="6">
                  <c:v>210</c:v>
                </c:pt>
                <c:pt idx="7">
                  <c:v>220</c:v>
                </c:pt>
                <c:pt idx="8">
                  <c:v>230</c:v>
                </c:pt>
                <c:pt idx="9">
                  <c:v>240</c:v>
                </c:pt>
                <c:pt idx="10">
                  <c:v>250</c:v>
                </c:pt>
                <c:pt idx="11">
                  <c:v>260</c:v>
                </c:pt>
                <c:pt idx="12">
                  <c:v>270</c:v>
                </c:pt>
                <c:pt idx="13">
                  <c:v>280</c:v>
                </c:pt>
                <c:pt idx="14">
                  <c:v>290</c:v>
                </c:pt>
                <c:pt idx="15">
                  <c:v>300</c:v>
                </c:pt>
                <c:pt idx="16">
                  <c:v>310</c:v>
                </c:pt>
                <c:pt idx="17">
                  <c:v>320</c:v>
                </c:pt>
                <c:pt idx="18">
                  <c:v>330</c:v>
                </c:pt>
                <c:pt idx="19">
                  <c:v>340</c:v>
                </c:pt>
                <c:pt idx="20">
                  <c:v>350</c:v>
                </c:pt>
                <c:pt idx="21">
                  <c:v>360</c:v>
                </c:pt>
                <c:pt idx="22">
                  <c:v>370</c:v>
                </c:pt>
                <c:pt idx="23">
                  <c:v>380</c:v>
                </c:pt>
                <c:pt idx="24">
                  <c:v>390</c:v>
                </c:pt>
                <c:pt idx="25">
                  <c:v>400</c:v>
                </c:pt>
                <c:pt idx="26">
                  <c:v>410</c:v>
                </c:pt>
                <c:pt idx="27">
                  <c:v>420</c:v>
                </c:pt>
                <c:pt idx="28">
                  <c:v>430</c:v>
                </c:pt>
              </c:numCache>
            </c:numRef>
          </c:xVal>
          <c:yVal>
            <c:numRef>
              <c:f>'Propulsion Blank'!$Q$36:$Q$64</c:f>
              <c:numCache>
                <c:formatCode>0.0</c:formatCode>
                <c:ptCount val="29"/>
                <c:pt idx="0">
                  <c:v>8.3176446045404102</c:v>
                </c:pt>
                <c:pt idx="1">
                  <c:v>7.7574644216990967</c:v>
                </c:pt>
                <c:pt idx="2">
                  <c:v>7.2679776451286857</c:v>
                </c:pt>
                <c:pt idx="3">
                  <c:v>6.836596536623234</c:v>
                </c:pt>
                <c:pt idx="4">
                  <c:v>6.4535544305542034</c:v>
                </c:pt>
                <c:pt idx="5">
                  <c:v>6.1111573656799454</c:v>
                </c:pt>
                <c:pt idx="6">
                  <c:v>5.8032619449428964</c:v>
                </c:pt>
                <c:pt idx="7">
                  <c:v>5.5249034647063029</c:v>
                </c:pt>
                <c:pt idx="8">
                  <c:v>5.272026168135441</c:v>
                </c:pt>
                <c:pt idx="9">
                  <c:v>5.0412843349070302</c:v>
                </c:pt>
                <c:pt idx="10">
                  <c:v>4.8298934151056114</c:v>
                </c:pt>
                <c:pt idx="11">
                  <c:v>4.6355171093085268</c:v>
                </c:pt>
                <c:pt idx="12">
                  <c:v>4.4561806601887763</c:v>
                </c:pt>
                <c:pt idx="13">
                  <c:v>4.2902035216244139</c:v>
                </c:pt>
                <c:pt idx="14">
                  <c:v>4.1361465345241335</c:v>
                </c:pt>
                <c:pt idx="15">
                  <c:v>3.9927700893173026</c:v>
                </c:pt>
                <c:pt idx="16">
                  <c:v>3.8590006985123346</c:v>
                </c:pt>
                <c:pt idx="17">
                  <c:v>3.7339040709282321</c:v>
                </c:pt>
                <c:pt idx="18">
                  <c:v>3.6166632585775642</c:v>
                </c:pt>
                <c:pt idx="19">
                  <c:v>3.5065607952099875</c:v>
                </c:pt>
                <c:pt idx="20">
                  <c:v>3.4029640010172808</c:v>
                </c:pt>
                <c:pt idx="21">
                  <c:v>3.3053128175084447</c:v>
                </c:pt>
                <c:pt idx="22">
                  <c:v>3.2131096784935171</c:v>
                </c:pt>
                <c:pt idx="23">
                  <c:v>3.1259110303789983</c:v>
                </c:pt>
                <c:pt idx="24">
                  <c:v>3.0433201967354471</c:v>
                </c:pt>
                <c:pt idx="25">
                  <c:v>2.9649813449145808</c:v>
                </c:pt>
                <c:pt idx="26">
                  <c:v>2.8905743611223191</c:v>
                </c:pt>
                <c:pt idx="27">
                  <c:v>2.8198104782689994</c:v>
                </c:pt>
                <c:pt idx="28">
                  <c:v>2.7524285306786749</c:v>
                </c:pt>
              </c:numCache>
            </c:numRef>
          </c:yVal>
          <c:smooth val="1"/>
          <c:extLst>
            <c:ext xmlns:c16="http://schemas.microsoft.com/office/drawing/2014/chart" uri="{C3380CC4-5D6E-409C-BE32-E72D297353CC}">
              <c16:uniqueId val="{00000001-D90D-4B03-A16B-7D5CE1BB489C}"/>
            </c:ext>
          </c:extLst>
        </c:ser>
        <c:ser>
          <c:idx val="2"/>
          <c:order val="2"/>
          <c:tx>
            <c:strRef>
              <c:f>'Propulsion Blank'!$R$34:$R$35</c:f>
              <c:strCache>
                <c:ptCount val="2"/>
                <c:pt idx="0">
                  <c:v>Total M</c:v>
                </c:pt>
                <c:pt idx="1">
                  <c:v>I27</c:v>
                </c:pt>
              </c:strCache>
            </c:strRef>
          </c:tx>
          <c:marker>
            <c:symbol val="none"/>
          </c:marker>
          <c:xVal>
            <c:numRef>
              <c:f>'Propulsion Blank'!$O$36:$O$64</c:f>
              <c:numCache>
                <c:formatCode>General</c:formatCode>
                <c:ptCount val="29"/>
                <c:pt idx="0">
                  <c:v>150</c:v>
                </c:pt>
                <c:pt idx="1">
                  <c:v>160</c:v>
                </c:pt>
                <c:pt idx="2">
                  <c:v>170</c:v>
                </c:pt>
                <c:pt idx="3">
                  <c:v>180</c:v>
                </c:pt>
                <c:pt idx="4">
                  <c:v>190</c:v>
                </c:pt>
                <c:pt idx="5">
                  <c:v>200</c:v>
                </c:pt>
                <c:pt idx="6">
                  <c:v>210</c:v>
                </c:pt>
                <c:pt idx="7">
                  <c:v>220</c:v>
                </c:pt>
                <c:pt idx="8">
                  <c:v>230</c:v>
                </c:pt>
                <c:pt idx="9">
                  <c:v>240</c:v>
                </c:pt>
                <c:pt idx="10">
                  <c:v>250</c:v>
                </c:pt>
                <c:pt idx="11">
                  <c:v>260</c:v>
                </c:pt>
                <c:pt idx="12">
                  <c:v>270</c:v>
                </c:pt>
                <c:pt idx="13">
                  <c:v>280</c:v>
                </c:pt>
                <c:pt idx="14">
                  <c:v>290</c:v>
                </c:pt>
                <c:pt idx="15">
                  <c:v>300</c:v>
                </c:pt>
                <c:pt idx="16">
                  <c:v>310</c:v>
                </c:pt>
                <c:pt idx="17">
                  <c:v>320</c:v>
                </c:pt>
                <c:pt idx="18">
                  <c:v>330</c:v>
                </c:pt>
                <c:pt idx="19">
                  <c:v>340</c:v>
                </c:pt>
                <c:pt idx="20">
                  <c:v>350</c:v>
                </c:pt>
                <c:pt idx="21">
                  <c:v>360</c:v>
                </c:pt>
                <c:pt idx="22">
                  <c:v>370</c:v>
                </c:pt>
                <c:pt idx="23">
                  <c:v>380</c:v>
                </c:pt>
                <c:pt idx="24">
                  <c:v>390</c:v>
                </c:pt>
                <c:pt idx="25">
                  <c:v>400</c:v>
                </c:pt>
                <c:pt idx="26">
                  <c:v>410</c:v>
                </c:pt>
                <c:pt idx="27">
                  <c:v>420</c:v>
                </c:pt>
                <c:pt idx="28">
                  <c:v>430</c:v>
                </c:pt>
              </c:numCache>
            </c:numRef>
          </c:xVal>
          <c:yVal>
            <c:numRef>
              <c:f>'Propulsion Blank'!$R$36:$R$64</c:f>
              <c:numCache>
                <c:formatCode>0.0</c:formatCode>
                <c:ptCount val="29"/>
                <c:pt idx="0">
                  <c:v>141.50659893813787</c:v>
                </c:pt>
                <c:pt idx="1">
                  <c:v>140.77477733367238</c:v>
                </c:pt>
                <c:pt idx="2">
                  <c:v>140.13530987451043</c:v>
                </c:pt>
                <c:pt idx="3">
                  <c:v>139.57175188971826</c:v>
                </c:pt>
                <c:pt idx="4">
                  <c:v>139.07134416872486</c:v>
                </c:pt>
                <c:pt idx="5">
                  <c:v>138.6240352901608</c:v>
                </c:pt>
                <c:pt idx="6">
                  <c:v>138.22179949583389</c:v>
                </c:pt>
                <c:pt idx="7">
                  <c:v>137.85815087729461</c:v>
                </c:pt>
                <c:pt idx="8">
                  <c:v>137.52779097778739</c:v>
                </c:pt>
                <c:pt idx="9">
                  <c:v>137.22634893506103</c:v>
                </c:pt>
                <c:pt idx="10">
                  <c:v>136.9501870021025</c:v>
                </c:pt>
                <c:pt idx="11">
                  <c:v>136.696253028114</c:v>
                </c:pt>
                <c:pt idx="12">
                  <c:v>136.46196718232011</c:v>
                </c:pt>
                <c:pt idx="13">
                  <c:v>136.24513399262625</c:v>
                </c:pt>
                <c:pt idx="14">
                  <c:v>136.04387333590861</c:v>
                </c:pt>
                <c:pt idx="15">
                  <c:v>135.85656578132568</c:v>
                </c:pt>
                <c:pt idx="16">
                  <c:v>135.68180892057649</c:v>
                </c:pt>
                <c:pt idx="17">
                  <c:v>135.5183821919702</c:v>
                </c:pt>
                <c:pt idx="18">
                  <c:v>135.36521833142785</c:v>
                </c:pt>
                <c:pt idx="19">
                  <c:v>135.22138003820481</c:v>
                </c:pt>
                <c:pt idx="20">
                  <c:v>135.08604077689955</c:v>
                </c:pt>
                <c:pt idx="21">
                  <c:v>134.95846888488632</c:v>
                </c:pt>
                <c:pt idx="22">
                  <c:v>134.83801433972835</c:v>
                </c:pt>
                <c:pt idx="23">
                  <c:v>134.72409768125834</c:v>
                </c:pt>
                <c:pt idx="24">
                  <c:v>134.61620068982143</c:v>
                </c:pt>
                <c:pt idx="25">
                  <c:v>134.51385850423972</c:v>
                </c:pt>
                <c:pt idx="26">
                  <c:v>134.41665292658772</c:v>
                </c:pt>
                <c:pt idx="27">
                  <c:v>134.32420671039841</c:v>
                </c:pt>
                <c:pt idx="28">
                  <c:v>134.23617866780066</c:v>
                </c:pt>
              </c:numCache>
            </c:numRef>
          </c:yVal>
          <c:smooth val="1"/>
          <c:extLst>
            <c:ext xmlns:c16="http://schemas.microsoft.com/office/drawing/2014/chart" uri="{C3380CC4-5D6E-409C-BE32-E72D297353CC}">
              <c16:uniqueId val="{00000002-D90D-4B03-A16B-7D5CE1BB489C}"/>
            </c:ext>
          </c:extLst>
        </c:ser>
        <c:dLbls>
          <c:showLegendKey val="0"/>
          <c:showVal val="0"/>
          <c:showCatName val="0"/>
          <c:showSerName val="0"/>
          <c:showPercent val="0"/>
          <c:showBubbleSize val="0"/>
        </c:dLbls>
        <c:axId val="28501888"/>
        <c:axId val="28512640"/>
      </c:scatterChart>
      <c:scatterChart>
        <c:scatterStyle val="smoothMarker"/>
        <c:varyColors val="0"/>
        <c:ser>
          <c:idx val="3"/>
          <c:order val="3"/>
          <c:tx>
            <c:strRef>
              <c:f>'Propulsion Blank'!$S$34:$S$35</c:f>
              <c:strCache>
                <c:ptCount val="2"/>
                <c:pt idx="0">
                  <c:v>Power</c:v>
                </c:pt>
                <c:pt idx="1">
                  <c:v>I30</c:v>
                </c:pt>
              </c:strCache>
            </c:strRef>
          </c:tx>
          <c:spPr>
            <a:ln>
              <a:solidFill>
                <a:srgbClr val="FF0000"/>
              </a:solidFill>
            </a:ln>
          </c:spPr>
          <c:marker>
            <c:symbol val="circle"/>
            <c:size val="5"/>
            <c:spPr>
              <a:solidFill>
                <a:srgbClr val="FF0000"/>
              </a:solidFill>
              <a:ln>
                <a:solidFill>
                  <a:schemeClr val="tx1"/>
                </a:solidFill>
              </a:ln>
            </c:spPr>
          </c:marker>
          <c:xVal>
            <c:numRef>
              <c:f>'Propulsion Blank'!$O$36:$O$64</c:f>
              <c:numCache>
                <c:formatCode>General</c:formatCode>
                <c:ptCount val="29"/>
                <c:pt idx="0">
                  <c:v>150</c:v>
                </c:pt>
                <c:pt idx="1">
                  <c:v>160</c:v>
                </c:pt>
                <c:pt idx="2">
                  <c:v>170</c:v>
                </c:pt>
                <c:pt idx="3">
                  <c:v>180</c:v>
                </c:pt>
                <c:pt idx="4">
                  <c:v>190</c:v>
                </c:pt>
                <c:pt idx="5">
                  <c:v>200</c:v>
                </c:pt>
                <c:pt idx="6">
                  <c:v>210</c:v>
                </c:pt>
                <c:pt idx="7">
                  <c:v>220</c:v>
                </c:pt>
                <c:pt idx="8">
                  <c:v>230</c:v>
                </c:pt>
                <c:pt idx="9">
                  <c:v>240</c:v>
                </c:pt>
                <c:pt idx="10">
                  <c:v>250</c:v>
                </c:pt>
                <c:pt idx="11">
                  <c:v>260</c:v>
                </c:pt>
                <c:pt idx="12">
                  <c:v>270</c:v>
                </c:pt>
                <c:pt idx="13">
                  <c:v>280</c:v>
                </c:pt>
                <c:pt idx="14">
                  <c:v>290</c:v>
                </c:pt>
                <c:pt idx="15">
                  <c:v>300</c:v>
                </c:pt>
                <c:pt idx="16">
                  <c:v>310</c:v>
                </c:pt>
                <c:pt idx="17">
                  <c:v>320</c:v>
                </c:pt>
                <c:pt idx="18">
                  <c:v>330</c:v>
                </c:pt>
                <c:pt idx="19">
                  <c:v>340</c:v>
                </c:pt>
                <c:pt idx="20">
                  <c:v>350</c:v>
                </c:pt>
                <c:pt idx="21">
                  <c:v>360</c:v>
                </c:pt>
                <c:pt idx="22">
                  <c:v>370</c:v>
                </c:pt>
                <c:pt idx="23">
                  <c:v>380</c:v>
                </c:pt>
                <c:pt idx="24">
                  <c:v>390</c:v>
                </c:pt>
                <c:pt idx="25">
                  <c:v>400</c:v>
                </c:pt>
                <c:pt idx="26">
                  <c:v>410</c:v>
                </c:pt>
                <c:pt idx="27">
                  <c:v>420</c:v>
                </c:pt>
                <c:pt idx="28">
                  <c:v>430</c:v>
                </c:pt>
              </c:numCache>
            </c:numRef>
          </c:xVal>
          <c:yVal>
            <c:numRef>
              <c:f>'Propulsion Blank'!$S$36:$S$64</c:f>
              <c:numCache>
                <c:formatCode>0.0</c:formatCode>
                <c:ptCount val="29"/>
                <c:pt idx="0">
                  <c:v>2.6630059786879171E-4</c:v>
                </c:pt>
                <c:pt idx="1">
                  <c:v>2.4965681050199219E-4</c:v>
                </c:pt>
                <c:pt idx="2">
                  <c:v>2.3497111576658089E-4</c:v>
                </c:pt>
                <c:pt idx="3">
                  <c:v>2.2191716489065972E-4</c:v>
                </c:pt>
                <c:pt idx="4">
                  <c:v>2.1023731410694079E-4</c:v>
                </c:pt>
                <c:pt idx="5">
                  <c:v>1.9972544840159379E-4</c:v>
                </c:pt>
                <c:pt idx="6">
                  <c:v>1.9021471276342266E-4</c:v>
                </c:pt>
                <c:pt idx="7">
                  <c:v>1.8156858945599438E-4</c:v>
                </c:pt>
                <c:pt idx="8">
                  <c:v>1.7367430295790761E-4</c:v>
                </c:pt>
                <c:pt idx="9">
                  <c:v>1.6643787366799482E-4</c:v>
                </c:pt>
                <c:pt idx="10">
                  <c:v>1.5978035872127503E-4</c:v>
                </c:pt>
                <c:pt idx="11">
                  <c:v>1.5363496030891828E-4</c:v>
                </c:pt>
                <c:pt idx="12">
                  <c:v>1.4794477659377313E-4</c:v>
                </c:pt>
                <c:pt idx="13">
                  <c:v>1.4266103457256699E-4</c:v>
                </c:pt>
                <c:pt idx="14">
                  <c:v>1.377416885528233E-4</c:v>
                </c:pt>
                <c:pt idx="15">
                  <c:v>1.3315029893439586E-4</c:v>
                </c:pt>
                <c:pt idx="16">
                  <c:v>1.2885512800102827E-4</c:v>
                </c:pt>
                <c:pt idx="17">
                  <c:v>1.2482840525099612E-4</c:v>
                </c:pt>
                <c:pt idx="18">
                  <c:v>1.2104572630399624E-4</c:v>
                </c:pt>
                <c:pt idx="19">
                  <c:v>1.1748555788329047E-4</c:v>
                </c:pt>
                <c:pt idx="20">
                  <c:v>1.141288276580536E-4</c:v>
                </c:pt>
                <c:pt idx="21">
                  <c:v>1.1095858244532986E-4</c:v>
                </c:pt>
                <c:pt idx="22">
                  <c:v>1.0795970183869931E-4</c:v>
                </c:pt>
                <c:pt idx="23">
                  <c:v>1.0511865705347041E-4</c:v>
                </c:pt>
                <c:pt idx="24">
                  <c:v>1.0242330687261219E-4</c:v>
                </c:pt>
                <c:pt idx="25">
                  <c:v>9.9862724200796893E-5</c:v>
                </c:pt>
                <c:pt idx="26">
                  <c:v>9.7427048000777467E-5</c:v>
                </c:pt>
                <c:pt idx="27">
                  <c:v>9.5107356381711315E-5</c:v>
                </c:pt>
                <c:pt idx="28">
                  <c:v>9.2895557396090137E-5</c:v>
                </c:pt>
              </c:numCache>
            </c:numRef>
          </c:yVal>
          <c:smooth val="1"/>
          <c:extLst>
            <c:ext xmlns:c16="http://schemas.microsoft.com/office/drawing/2014/chart" uri="{C3380CC4-5D6E-409C-BE32-E72D297353CC}">
              <c16:uniqueId val="{00000003-D90D-4B03-A16B-7D5CE1BB489C}"/>
            </c:ext>
          </c:extLst>
        </c:ser>
        <c:dLbls>
          <c:showLegendKey val="0"/>
          <c:showVal val="0"/>
          <c:showCatName val="0"/>
          <c:showSerName val="0"/>
          <c:showPercent val="0"/>
          <c:showBubbleSize val="0"/>
        </c:dLbls>
        <c:axId val="28516736"/>
        <c:axId val="28514560"/>
      </c:scatterChart>
      <c:valAx>
        <c:axId val="28501888"/>
        <c:scaling>
          <c:orientation val="minMax"/>
          <c:max val="450"/>
          <c:min val="150"/>
        </c:scaling>
        <c:delete val="0"/>
        <c:axPos val="b"/>
        <c:title>
          <c:tx>
            <c:rich>
              <a:bodyPr/>
              <a:lstStyle/>
              <a:p>
                <a:pPr>
                  <a:defRPr/>
                </a:pPr>
                <a:r>
                  <a:rPr lang="en-US"/>
                  <a:t>Burn Time (Days)</a:t>
                </a:r>
              </a:p>
            </c:rich>
          </c:tx>
          <c:layout/>
          <c:overlay val="0"/>
        </c:title>
        <c:numFmt formatCode="General" sourceLinked="1"/>
        <c:majorTickMark val="out"/>
        <c:minorTickMark val="none"/>
        <c:tickLblPos val="nextTo"/>
        <c:crossAx val="28512640"/>
        <c:crosses val="autoZero"/>
        <c:crossBetween val="midCat"/>
      </c:valAx>
      <c:valAx>
        <c:axId val="28512640"/>
        <c:scaling>
          <c:orientation val="minMax"/>
        </c:scaling>
        <c:delete val="0"/>
        <c:axPos val="l"/>
        <c:majorGridlines/>
        <c:title>
          <c:tx>
            <c:rich>
              <a:bodyPr rot="-5400000" vert="horz"/>
              <a:lstStyle/>
              <a:p>
                <a:pPr>
                  <a:defRPr/>
                </a:pPr>
                <a:r>
                  <a:rPr lang="en-US"/>
                  <a:t>Mass (kg)</a:t>
                </a:r>
              </a:p>
            </c:rich>
          </c:tx>
          <c:layout/>
          <c:overlay val="0"/>
        </c:title>
        <c:numFmt formatCode="0.0" sourceLinked="1"/>
        <c:majorTickMark val="out"/>
        <c:minorTickMark val="none"/>
        <c:tickLblPos val="nextTo"/>
        <c:crossAx val="28501888"/>
        <c:crosses val="autoZero"/>
        <c:crossBetween val="midCat"/>
      </c:valAx>
      <c:valAx>
        <c:axId val="28514560"/>
        <c:scaling>
          <c:orientation val="minMax"/>
        </c:scaling>
        <c:delete val="0"/>
        <c:axPos val="r"/>
        <c:title>
          <c:tx>
            <c:rich>
              <a:bodyPr rot="-5400000" vert="horz"/>
              <a:lstStyle/>
              <a:p>
                <a:pPr>
                  <a:defRPr>
                    <a:solidFill>
                      <a:srgbClr val="FF0000"/>
                    </a:solidFill>
                  </a:defRPr>
                </a:pPr>
                <a:r>
                  <a:rPr lang="en-US">
                    <a:solidFill>
                      <a:srgbClr val="FF0000"/>
                    </a:solidFill>
                  </a:rPr>
                  <a:t>Power (Watts)</a:t>
                </a:r>
              </a:p>
            </c:rich>
          </c:tx>
          <c:layout/>
          <c:overlay val="0"/>
        </c:title>
        <c:numFmt formatCode="0.0" sourceLinked="1"/>
        <c:majorTickMark val="out"/>
        <c:minorTickMark val="none"/>
        <c:tickLblPos val="nextTo"/>
        <c:txPr>
          <a:bodyPr/>
          <a:lstStyle/>
          <a:p>
            <a:pPr>
              <a:defRPr>
                <a:solidFill>
                  <a:srgbClr val="FF0000"/>
                </a:solidFill>
              </a:defRPr>
            </a:pPr>
            <a:endParaRPr lang="en-US"/>
          </a:p>
        </c:txPr>
        <c:crossAx val="28516736"/>
        <c:crosses val="max"/>
        <c:crossBetween val="midCat"/>
      </c:valAx>
      <c:valAx>
        <c:axId val="28516736"/>
        <c:scaling>
          <c:orientation val="minMax"/>
        </c:scaling>
        <c:delete val="1"/>
        <c:axPos val="b"/>
        <c:numFmt formatCode="General" sourceLinked="1"/>
        <c:majorTickMark val="out"/>
        <c:minorTickMark val="none"/>
        <c:tickLblPos val="nextTo"/>
        <c:crossAx val="28514560"/>
        <c:crosses val="autoZero"/>
        <c:crossBetween val="midCat"/>
      </c:valAx>
    </c:plotArea>
    <c:legend>
      <c:legendPos val="l"/>
      <c:layout>
        <c:manualLayout>
          <c:xMode val="edge"/>
          <c:yMode val="edge"/>
          <c:x val="0.45765130153812639"/>
          <c:y val="0.14396067603721449"/>
          <c:w val="0.19081758235094576"/>
          <c:h val="0.24140717573850157"/>
        </c:manualLayout>
      </c:layout>
      <c:overlay val="1"/>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Electric Propulsion Total Mass Constant</a:t>
            </a:r>
          </a:p>
        </c:rich>
      </c:tx>
      <c:layout/>
      <c:overlay val="0"/>
    </c:title>
    <c:autoTitleDeleted val="0"/>
    <c:plotArea>
      <c:layout/>
      <c:scatterChart>
        <c:scatterStyle val="smoothMarker"/>
        <c:varyColors val="0"/>
        <c:ser>
          <c:idx val="0"/>
          <c:order val="0"/>
          <c:tx>
            <c:strRef>
              <c:f>'Propulsion Blank'!$W$34:$W$35</c:f>
              <c:strCache>
                <c:ptCount val="2"/>
                <c:pt idx="0">
                  <c:v>M Prop</c:v>
                </c:pt>
                <c:pt idx="1">
                  <c:v>I25</c:v>
                </c:pt>
              </c:strCache>
            </c:strRef>
          </c:tx>
          <c:marker>
            <c:symbol val="none"/>
          </c:marker>
          <c:xVal>
            <c:numRef>
              <c:f>'Propulsion Blank'!$V$36:$V$64</c:f>
              <c:numCache>
                <c:formatCode>General</c:formatCode>
                <c:ptCount val="29"/>
                <c:pt idx="0">
                  <c:v>150</c:v>
                </c:pt>
                <c:pt idx="1">
                  <c:v>160</c:v>
                </c:pt>
                <c:pt idx="2">
                  <c:v>170</c:v>
                </c:pt>
                <c:pt idx="3">
                  <c:v>180</c:v>
                </c:pt>
                <c:pt idx="4">
                  <c:v>190</c:v>
                </c:pt>
                <c:pt idx="5">
                  <c:v>200</c:v>
                </c:pt>
                <c:pt idx="6">
                  <c:v>210</c:v>
                </c:pt>
                <c:pt idx="7">
                  <c:v>220</c:v>
                </c:pt>
                <c:pt idx="8">
                  <c:v>230</c:v>
                </c:pt>
                <c:pt idx="9">
                  <c:v>240</c:v>
                </c:pt>
                <c:pt idx="10">
                  <c:v>250</c:v>
                </c:pt>
                <c:pt idx="11">
                  <c:v>260</c:v>
                </c:pt>
                <c:pt idx="12">
                  <c:v>270</c:v>
                </c:pt>
                <c:pt idx="13">
                  <c:v>280</c:v>
                </c:pt>
                <c:pt idx="14">
                  <c:v>290</c:v>
                </c:pt>
                <c:pt idx="15">
                  <c:v>300</c:v>
                </c:pt>
                <c:pt idx="16">
                  <c:v>310</c:v>
                </c:pt>
                <c:pt idx="17">
                  <c:v>320</c:v>
                </c:pt>
                <c:pt idx="18">
                  <c:v>330</c:v>
                </c:pt>
                <c:pt idx="19">
                  <c:v>340</c:v>
                </c:pt>
                <c:pt idx="20">
                  <c:v>350</c:v>
                </c:pt>
                <c:pt idx="21">
                  <c:v>360</c:v>
                </c:pt>
                <c:pt idx="22">
                  <c:v>370</c:v>
                </c:pt>
                <c:pt idx="23">
                  <c:v>380</c:v>
                </c:pt>
                <c:pt idx="24">
                  <c:v>390</c:v>
                </c:pt>
                <c:pt idx="25">
                  <c:v>400</c:v>
                </c:pt>
                <c:pt idx="26">
                  <c:v>410</c:v>
                </c:pt>
                <c:pt idx="27">
                  <c:v>420</c:v>
                </c:pt>
                <c:pt idx="28">
                  <c:v>430</c:v>
                </c:pt>
              </c:numCache>
            </c:numRef>
          </c:xVal>
          <c:yVal>
            <c:numRef>
              <c:f>'Propulsion Blank'!$W$36:$W$64</c:f>
              <c:numCache>
                <c:formatCode>0.0</c:formatCode>
                <c:ptCount val="29"/>
                <c:pt idx="0">
                  <c:v>3.4569565587046505</c:v>
                </c:pt>
                <c:pt idx="1">
                  <c:v>3.45695655870465</c:v>
                </c:pt>
                <c:pt idx="2">
                  <c:v>3.45695655870465</c:v>
                </c:pt>
                <c:pt idx="3">
                  <c:v>3.45695655870465</c:v>
                </c:pt>
                <c:pt idx="4">
                  <c:v>3.45695655870465</c:v>
                </c:pt>
                <c:pt idx="5">
                  <c:v>3.45695655870465</c:v>
                </c:pt>
                <c:pt idx="6">
                  <c:v>3.4569565587046496</c:v>
                </c:pt>
                <c:pt idx="7">
                  <c:v>3.4569565587046496</c:v>
                </c:pt>
                <c:pt idx="8">
                  <c:v>3.45695655870465</c:v>
                </c:pt>
                <c:pt idx="9">
                  <c:v>3.4569565587046496</c:v>
                </c:pt>
                <c:pt idx="10">
                  <c:v>3.45695655870465</c:v>
                </c:pt>
                <c:pt idx="11">
                  <c:v>3.45695655870465</c:v>
                </c:pt>
                <c:pt idx="12">
                  <c:v>3.4569565587046496</c:v>
                </c:pt>
                <c:pt idx="13">
                  <c:v>3.4569565587046496</c:v>
                </c:pt>
                <c:pt idx="14">
                  <c:v>3.4569565587046496</c:v>
                </c:pt>
                <c:pt idx="15">
                  <c:v>3.45695655870465</c:v>
                </c:pt>
                <c:pt idx="16">
                  <c:v>3.4569565587046496</c:v>
                </c:pt>
                <c:pt idx="17">
                  <c:v>3.4569565587046496</c:v>
                </c:pt>
                <c:pt idx="18">
                  <c:v>3.4569565587046496</c:v>
                </c:pt>
                <c:pt idx="19">
                  <c:v>3.4569565587046505</c:v>
                </c:pt>
                <c:pt idx="20">
                  <c:v>3.4569565587046496</c:v>
                </c:pt>
                <c:pt idx="21">
                  <c:v>3.45695655870465</c:v>
                </c:pt>
                <c:pt idx="22">
                  <c:v>3.45695655870465</c:v>
                </c:pt>
                <c:pt idx="23">
                  <c:v>3.45695655870465</c:v>
                </c:pt>
                <c:pt idx="24">
                  <c:v>3.45695655870465</c:v>
                </c:pt>
                <c:pt idx="25">
                  <c:v>3.4569565587046505</c:v>
                </c:pt>
                <c:pt idx="26">
                  <c:v>3.4569565587046496</c:v>
                </c:pt>
                <c:pt idx="27">
                  <c:v>3.4569565587046496</c:v>
                </c:pt>
                <c:pt idx="28">
                  <c:v>3.4569565587046496</c:v>
                </c:pt>
              </c:numCache>
            </c:numRef>
          </c:yVal>
          <c:smooth val="1"/>
          <c:extLst>
            <c:ext xmlns:c16="http://schemas.microsoft.com/office/drawing/2014/chart" uri="{C3380CC4-5D6E-409C-BE32-E72D297353CC}">
              <c16:uniqueId val="{00000000-D9D1-466F-AA8B-05322FD0C646}"/>
            </c:ext>
          </c:extLst>
        </c:ser>
        <c:ser>
          <c:idx val="1"/>
          <c:order val="1"/>
          <c:tx>
            <c:strRef>
              <c:f>'Propulsion Blank'!$X$34:$X$35</c:f>
              <c:strCache>
                <c:ptCount val="2"/>
                <c:pt idx="0">
                  <c:v>M Payload</c:v>
                </c:pt>
                <c:pt idx="1">
                  <c:v>I12</c:v>
                </c:pt>
              </c:strCache>
            </c:strRef>
          </c:tx>
          <c:marker>
            <c:symbol val="none"/>
          </c:marker>
          <c:xVal>
            <c:numRef>
              <c:f>'Propulsion Blank'!$V$36:$V$64</c:f>
              <c:numCache>
                <c:formatCode>General</c:formatCode>
                <c:ptCount val="29"/>
                <c:pt idx="0">
                  <c:v>150</c:v>
                </c:pt>
                <c:pt idx="1">
                  <c:v>160</c:v>
                </c:pt>
                <c:pt idx="2">
                  <c:v>170</c:v>
                </c:pt>
                <c:pt idx="3">
                  <c:v>180</c:v>
                </c:pt>
                <c:pt idx="4">
                  <c:v>190</c:v>
                </c:pt>
                <c:pt idx="5">
                  <c:v>200</c:v>
                </c:pt>
                <c:pt idx="6">
                  <c:v>210</c:v>
                </c:pt>
                <c:pt idx="7">
                  <c:v>220</c:v>
                </c:pt>
                <c:pt idx="8">
                  <c:v>230</c:v>
                </c:pt>
                <c:pt idx="9">
                  <c:v>240</c:v>
                </c:pt>
                <c:pt idx="10">
                  <c:v>250</c:v>
                </c:pt>
                <c:pt idx="11">
                  <c:v>260</c:v>
                </c:pt>
                <c:pt idx="12">
                  <c:v>270</c:v>
                </c:pt>
                <c:pt idx="13">
                  <c:v>280</c:v>
                </c:pt>
                <c:pt idx="14">
                  <c:v>290</c:v>
                </c:pt>
                <c:pt idx="15">
                  <c:v>300</c:v>
                </c:pt>
                <c:pt idx="16">
                  <c:v>310</c:v>
                </c:pt>
                <c:pt idx="17">
                  <c:v>320</c:v>
                </c:pt>
                <c:pt idx="18">
                  <c:v>330</c:v>
                </c:pt>
                <c:pt idx="19">
                  <c:v>340</c:v>
                </c:pt>
                <c:pt idx="20">
                  <c:v>350</c:v>
                </c:pt>
                <c:pt idx="21">
                  <c:v>360</c:v>
                </c:pt>
                <c:pt idx="22">
                  <c:v>370</c:v>
                </c:pt>
                <c:pt idx="23">
                  <c:v>380</c:v>
                </c:pt>
                <c:pt idx="24">
                  <c:v>390</c:v>
                </c:pt>
                <c:pt idx="25">
                  <c:v>400</c:v>
                </c:pt>
                <c:pt idx="26">
                  <c:v>410</c:v>
                </c:pt>
                <c:pt idx="27">
                  <c:v>420</c:v>
                </c:pt>
                <c:pt idx="28">
                  <c:v>430</c:v>
                </c:pt>
              </c:numCache>
            </c:numRef>
          </c:xVal>
          <c:yVal>
            <c:numRef>
              <c:f>'Propulsion Blank'!$X$36:$X$64</c:f>
              <c:numCache>
                <c:formatCode>0.0</c:formatCode>
                <c:ptCount val="29"/>
                <c:pt idx="0">
                  <c:v>7.8210729181200982</c:v>
                </c:pt>
                <c:pt idx="1">
                  <c:v>7.866196075818551</c:v>
                </c:pt>
                <c:pt idx="2">
                  <c:v>7.9060106267289507</c:v>
                </c:pt>
                <c:pt idx="3">
                  <c:v>7.9414013386493059</c:v>
                </c:pt>
                <c:pt idx="4">
                  <c:v>7.9730667124727823</c:v>
                </c:pt>
                <c:pt idx="5">
                  <c:v>8.001565548913911</c:v>
                </c:pt>
                <c:pt idx="6">
                  <c:v>8.0273502104558823</c:v>
                </c:pt>
                <c:pt idx="7">
                  <c:v>8.0507908118576772</c:v>
                </c:pt>
                <c:pt idx="8">
                  <c:v>8.0721931000940987</c:v>
                </c:pt>
                <c:pt idx="9">
                  <c:v>8.0918118643108166</c:v>
                </c:pt>
                <c:pt idx="10">
                  <c:v>8.1098611273901984</c:v>
                </c:pt>
                <c:pt idx="11">
                  <c:v>8.1265219856173196</c:v>
                </c:pt>
                <c:pt idx="12">
                  <c:v>8.1419487061979865</c:v>
                </c:pt>
                <c:pt idx="13">
                  <c:v>8.1562735181657491</c:v>
                </c:pt>
                <c:pt idx="14">
                  <c:v>8.1696104120667705</c:v>
                </c:pt>
                <c:pt idx="15">
                  <c:v>8.1820581797077239</c:v>
                </c:pt>
                <c:pt idx="16">
                  <c:v>8.1937028655653883</c:v>
                </c:pt>
                <c:pt idx="17">
                  <c:v>8.2046197585569498</c:v>
                </c:pt>
                <c:pt idx="18">
                  <c:v>8.2148750216702346</c:v>
                </c:pt>
                <c:pt idx="19">
                  <c:v>8.2245270340121515</c:v>
                </c:pt>
                <c:pt idx="20">
                  <c:v>8.2336275027916699</c:v>
                </c:pt>
                <c:pt idx="21">
                  <c:v>8.2422223899723281</c:v>
                </c:pt>
                <c:pt idx="22">
                  <c:v>8.2503526886567347</c:v>
                </c:pt>
                <c:pt idx="23">
                  <c:v>8.2580550768840659</c:v>
                </c:pt>
                <c:pt idx="24">
                  <c:v>8.2653624708433302</c:v>
                </c:pt>
                <c:pt idx="25">
                  <c:v>8.2723044951046312</c:v>
                </c:pt>
                <c:pt idx="26">
                  <c:v>8.2789078840361103</c:v>
                </c:pt>
                <c:pt idx="27">
                  <c:v>8.2851968258756159</c:v>
                </c:pt>
                <c:pt idx="28">
                  <c:v>8.2911932587923545</c:v>
                </c:pt>
              </c:numCache>
            </c:numRef>
          </c:yVal>
          <c:smooth val="1"/>
          <c:extLst>
            <c:ext xmlns:c16="http://schemas.microsoft.com/office/drawing/2014/chart" uri="{C3380CC4-5D6E-409C-BE32-E72D297353CC}">
              <c16:uniqueId val="{00000001-D9D1-466F-AA8B-05322FD0C646}"/>
            </c:ext>
          </c:extLst>
        </c:ser>
        <c:ser>
          <c:idx val="2"/>
          <c:order val="2"/>
          <c:tx>
            <c:strRef>
              <c:f>'Propulsion Blank'!$Y$34:$Y$35</c:f>
              <c:strCache>
                <c:ptCount val="2"/>
                <c:pt idx="0">
                  <c:v>M Power</c:v>
                </c:pt>
                <c:pt idx="1">
                  <c:v>I26</c:v>
                </c:pt>
              </c:strCache>
            </c:strRef>
          </c:tx>
          <c:marker>
            <c:symbol val="none"/>
          </c:marker>
          <c:xVal>
            <c:numRef>
              <c:f>'Propulsion Blank'!$V$36:$V$64</c:f>
              <c:numCache>
                <c:formatCode>General</c:formatCode>
                <c:ptCount val="29"/>
                <c:pt idx="0">
                  <c:v>150</c:v>
                </c:pt>
                <c:pt idx="1">
                  <c:v>160</c:v>
                </c:pt>
                <c:pt idx="2">
                  <c:v>170</c:v>
                </c:pt>
                <c:pt idx="3">
                  <c:v>180</c:v>
                </c:pt>
                <c:pt idx="4">
                  <c:v>190</c:v>
                </c:pt>
                <c:pt idx="5">
                  <c:v>200</c:v>
                </c:pt>
                <c:pt idx="6">
                  <c:v>210</c:v>
                </c:pt>
                <c:pt idx="7">
                  <c:v>220</c:v>
                </c:pt>
                <c:pt idx="8">
                  <c:v>230</c:v>
                </c:pt>
                <c:pt idx="9">
                  <c:v>240</c:v>
                </c:pt>
                <c:pt idx="10">
                  <c:v>250</c:v>
                </c:pt>
                <c:pt idx="11">
                  <c:v>260</c:v>
                </c:pt>
                <c:pt idx="12">
                  <c:v>270</c:v>
                </c:pt>
                <c:pt idx="13">
                  <c:v>280</c:v>
                </c:pt>
                <c:pt idx="14">
                  <c:v>290</c:v>
                </c:pt>
                <c:pt idx="15">
                  <c:v>300</c:v>
                </c:pt>
                <c:pt idx="16">
                  <c:v>310</c:v>
                </c:pt>
                <c:pt idx="17">
                  <c:v>320</c:v>
                </c:pt>
                <c:pt idx="18">
                  <c:v>330</c:v>
                </c:pt>
                <c:pt idx="19">
                  <c:v>340</c:v>
                </c:pt>
                <c:pt idx="20">
                  <c:v>350</c:v>
                </c:pt>
                <c:pt idx="21">
                  <c:v>360</c:v>
                </c:pt>
                <c:pt idx="22">
                  <c:v>370</c:v>
                </c:pt>
                <c:pt idx="23">
                  <c:v>380</c:v>
                </c:pt>
                <c:pt idx="24">
                  <c:v>390</c:v>
                </c:pt>
                <c:pt idx="25">
                  <c:v>400</c:v>
                </c:pt>
                <c:pt idx="26">
                  <c:v>410</c:v>
                </c:pt>
                <c:pt idx="27">
                  <c:v>420</c:v>
                </c:pt>
                <c:pt idx="28">
                  <c:v>430</c:v>
                </c:pt>
              </c:numCache>
            </c:numRef>
          </c:xVal>
          <c:yVal>
            <c:numRef>
              <c:f>'Propulsion Blank'!$Y$36:$Y$64</c:f>
              <c:numCache>
                <c:formatCode>0.0</c:formatCode>
                <c:ptCount val="29"/>
                <c:pt idx="0">
                  <c:v>0.72197052317525312</c:v>
                </c:pt>
                <c:pt idx="1">
                  <c:v>0.6768473654767998</c:v>
                </c:pt>
                <c:pt idx="2">
                  <c:v>0.63703281456639971</c:v>
                </c:pt>
                <c:pt idx="3">
                  <c:v>0.60164210264604423</c:v>
                </c:pt>
                <c:pt idx="4">
                  <c:v>0.56997672882256822</c:v>
                </c:pt>
                <c:pt idx="5">
                  <c:v>0.54147789238143973</c:v>
                </c:pt>
                <c:pt idx="6">
                  <c:v>0.51569323083946639</c:v>
                </c:pt>
                <c:pt idx="7">
                  <c:v>0.49225262943767245</c:v>
                </c:pt>
                <c:pt idx="8">
                  <c:v>0.47085034120125197</c:v>
                </c:pt>
                <c:pt idx="9">
                  <c:v>0.45123157698453298</c:v>
                </c:pt>
                <c:pt idx="10">
                  <c:v>0.43318231390515183</c:v>
                </c:pt>
                <c:pt idx="11">
                  <c:v>0.41652145567803062</c:v>
                </c:pt>
                <c:pt idx="12">
                  <c:v>0.40109473509736271</c:v>
                </c:pt>
                <c:pt idx="13">
                  <c:v>0.38676992312959979</c:v>
                </c:pt>
                <c:pt idx="14">
                  <c:v>0.37343302922857913</c:v>
                </c:pt>
                <c:pt idx="15">
                  <c:v>0.3609852615876265</c:v>
                </c:pt>
                <c:pt idx="16">
                  <c:v>0.34934057572996113</c:v>
                </c:pt>
                <c:pt idx="17">
                  <c:v>0.33842368273839979</c:v>
                </c:pt>
                <c:pt idx="18">
                  <c:v>0.32816841962511495</c:v>
                </c:pt>
                <c:pt idx="19">
                  <c:v>0.31851640728319991</c:v>
                </c:pt>
                <c:pt idx="20">
                  <c:v>0.30941593850367988</c:v>
                </c:pt>
                <c:pt idx="21">
                  <c:v>0.30082105132302212</c:v>
                </c:pt>
                <c:pt idx="22">
                  <c:v>0.2926907526386161</c:v>
                </c:pt>
                <c:pt idx="23">
                  <c:v>0.28498836441128411</c:v>
                </c:pt>
                <c:pt idx="24">
                  <c:v>0.27768097045202039</c:v>
                </c:pt>
                <c:pt idx="25">
                  <c:v>0.27073894619071986</c:v>
                </c:pt>
                <c:pt idx="26">
                  <c:v>0.26413555725923887</c:v>
                </c:pt>
                <c:pt idx="27">
                  <c:v>0.25784661541973319</c:v>
                </c:pt>
                <c:pt idx="28">
                  <c:v>0.25185018250299518</c:v>
                </c:pt>
              </c:numCache>
            </c:numRef>
          </c:yVal>
          <c:smooth val="1"/>
          <c:extLst>
            <c:ext xmlns:c16="http://schemas.microsoft.com/office/drawing/2014/chart" uri="{C3380CC4-5D6E-409C-BE32-E72D297353CC}">
              <c16:uniqueId val="{00000002-D9D1-466F-AA8B-05322FD0C646}"/>
            </c:ext>
          </c:extLst>
        </c:ser>
        <c:dLbls>
          <c:showLegendKey val="0"/>
          <c:showVal val="0"/>
          <c:showCatName val="0"/>
          <c:showSerName val="0"/>
          <c:showPercent val="0"/>
          <c:showBubbleSize val="0"/>
        </c:dLbls>
        <c:axId val="28548480"/>
        <c:axId val="28575616"/>
      </c:scatterChart>
      <c:scatterChart>
        <c:scatterStyle val="smoothMarker"/>
        <c:varyColors val="0"/>
        <c:ser>
          <c:idx val="3"/>
          <c:order val="3"/>
          <c:tx>
            <c:strRef>
              <c:f>'Propulsion Blank'!$Z$34:$Z$35</c:f>
              <c:strCache>
                <c:ptCount val="2"/>
                <c:pt idx="0">
                  <c:v>Power</c:v>
                </c:pt>
                <c:pt idx="1">
                  <c:v>I30</c:v>
                </c:pt>
              </c:strCache>
            </c:strRef>
          </c:tx>
          <c:spPr>
            <a:ln>
              <a:solidFill>
                <a:srgbClr val="FF0000"/>
              </a:solidFill>
            </a:ln>
          </c:spPr>
          <c:marker>
            <c:symbol val="circle"/>
            <c:size val="5"/>
            <c:spPr>
              <a:solidFill>
                <a:srgbClr val="FF0000"/>
              </a:solidFill>
              <a:ln>
                <a:solidFill>
                  <a:schemeClr val="tx1"/>
                </a:solidFill>
              </a:ln>
            </c:spPr>
          </c:marker>
          <c:xVal>
            <c:numRef>
              <c:f>'Propulsion Blank'!$V$36:$V$64</c:f>
              <c:numCache>
                <c:formatCode>General</c:formatCode>
                <c:ptCount val="29"/>
                <c:pt idx="0">
                  <c:v>150</c:v>
                </c:pt>
                <c:pt idx="1">
                  <c:v>160</c:v>
                </c:pt>
                <c:pt idx="2">
                  <c:v>170</c:v>
                </c:pt>
                <c:pt idx="3">
                  <c:v>180</c:v>
                </c:pt>
                <c:pt idx="4">
                  <c:v>190</c:v>
                </c:pt>
                <c:pt idx="5">
                  <c:v>200</c:v>
                </c:pt>
                <c:pt idx="6">
                  <c:v>210</c:v>
                </c:pt>
                <c:pt idx="7">
                  <c:v>220</c:v>
                </c:pt>
                <c:pt idx="8">
                  <c:v>230</c:v>
                </c:pt>
                <c:pt idx="9">
                  <c:v>240</c:v>
                </c:pt>
                <c:pt idx="10">
                  <c:v>250</c:v>
                </c:pt>
                <c:pt idx="11">
                  <c:v>260</c:v>
                </c:pt>
                <c:pt idx="12">
                  <c:v>270</c:v>
                </c:pt>
                <c:pt idx="13">
                  <c:v>280</c:v>
                </c:pt>
                <c:pt idx="14">
                  <c:v>290</c:v>
                </c:pt>
                <c:pt idx="15">
                  <c:v>300</c:v>
                </c:pt>
                <c:pt idx="16">
                  <c:v>310</c:v>
                </c:pt>
                <c:pt idx="17">
                  <c:v>320</c:v>
                </c:pt>
                <c:pt idx="18">
                  <c:v>330</c:v>
                </c:pt>
                <c:pt idx="19">
                  <c:v>340</c:v>
                </c:pt>
                <c:pt idx="20">
                  <c:v>350</c:v>
                </c:pt>
                <c:pt idx="21">
                  <c:v>360</c:v>
                </c:pt>
                <c:pt idx="22">
                  <c:v>370</c:v>
                </c:pt>
                <c:pt idx="23">
                  <c:v>380</c:v>
                </c:pt>
                <c:pt idx="24">
                  <c:v>390</c:v>
                </c:pt>
                <c:pt idx="25">
                  <c:v>400</c:v>
                </c:pt>
                <c:pt idx="26">
                  <c:v>410</c:v>
                </c:pt>
                <c:pt idx="27">
                  <c:v>420</c:v>
                </c:pt>
                <c:pt idx="28">
                  <c:v>430</c:v>
                </c:pt>
              </c:numCache>
            </c:numRef>
          </c:xVal>
          <c:yVal>
            <c:numRef>
              <c:f>'Propulsion Blank'!$Z$36:$Z$64</c:f>
              <c:numCache>
                <c:formatCode>0.0</c:formatCode>
                <c:ptCount val="29"/>
                <c:pt idx="0">
                  <c:v>3.2709050772465869E-4</c:v>
                </c:pt>
                <c:pt idx="1">
                  <c:v>3.0664735099186758E-4</c:v>
                </c:pt>
                <c:pt idx="2">
                  <c:v>2.8860927152175772E-4</c:v>
                </c:pt>
                <c:pt idx="3">
                  <c:v>2.7257542310388228E-4</c:v>
                </c:pt>
                <c:pt idx="4">
                  <c:v>2.5822934820367792E-4</c:v>
                </c:pt>
                <c:pt idx="5">
                  <c:v>2.4531788079349402E-4</c:v>
                </c:pt>
                <c:pt idx="6">
                  <c:v>2.3363607694618476E-4</c:v>
                </c:pt>
                <c:pt idx="7">
                  <c:v>2.2301625526681274E-4</c:v>
                </c:pt>
                <c:pt idx="8">
                  <c:v>2.1331989634216874E-4</c:v>
                </c:pt>
                <c:pt idx="9">
                  <c:v>2.0443156732791165E-4</c:v>
                </c:pt>
                <c:pt idx="10">
                  <c:v>1.9625430463479524E-4</c:v>
                </c:pt>
                <c:pt idx="11">
                  <c:v>1.8870606214884159E-4</c:v>
                </c:pt>
                <c:pt idx="12">
                  <c:v>1.8171694873592148E-4</c:v>
                </c:pt>
                <c:pt idx="13">
                  <c:v>1.7522705770963863E-4</c:v>
                </c:pt>
                <c:pt idx="14">
                  <c:v>1.6918474537482345E-4</c:v>
                </c:pt>
                <c:pt idx="15">
                  <c:v>1.6354525386232934E-4</c:v>
                </c:pt>
                <c:pt idx="16">
                  <c:v>1.5826960051193163E-4</c:v>
                </c:pt>
                <c:pt idx="17">
                  <c:v>1.5332367549593379E-4</c:v>
                </c:pt>
                <c:pt idx="18">
                  <c:v>1.486775035112085E-4</c:v>
                </c:pt>
                <c:pt idx="19">
                  <c:v>1.4430463576087886E-4</c:v>
                </c:pt>
                <c:pt idx="20">
                  <c:v>1.4018164616771086E-4</c:v>
                </c:pt>
                <c:pt idx="21">
                  <c:v>1.3628771155194114E-4</c:v>
                </c:pt>
                <c:pt idx="22">
                  <c:v>1.3260425988837515E-4</c:v>
                </c:pt>
                <c:pt idx="23">
                  <c:v>1.2911467410183899E-4</c:v>
                </c:pt>
                <c:pt idx="24">
                  <c:v>1.2580404143256103E-4</c:v>
                </c:pt>
                <c:pt idx="25">
                  <c:v>1.2265894039674701E-4</c:v>
                </c:pt>
                <c:pt idx="26">
                  <c:v>1.1966725892365563E-4</c:v>
                </c:pt>
                <c:pt idx="27">
                  <c:v>1.1681803847309238E-4</c:v>
                </c:pt>
                <c:pt idx="28">
                  <c:v>1.141013399039507E-4</c:v>
                </c:pt>
              </c:numCache>
            </c:numRef>
          </c:yVal>
          <c:smooth val="1"/>
          <c:extLst>
            <c:ext xmlns:c16="http://schemas.microsoft.com/office/drawing/2014/chart" uri="{C3380CC4-5D6E-409C-BE32-E72D297353CC}">
              <c16:uniqueId val="{00000003-D9D1-466F-AA8B-05322FD0C646}"/>
            </c:ext>
          </c:extLst>
        </c:ser>
        <c:dLbls>
          <c:showLegendKey val="0"/>
          <c:showVal val="0"/>
          <c:showCatName val="0"/>
          <c:showSerName val="0"/>
          <c:showPercent val="0"/>
          <c:showBubbleSize val="0"/>
        </c:dLbls>
        <c:axId val="28587904"/>
        <c:axId val="28585984"/>
      </c:scatterChart>
      <c:valAx>
        <c:axId val="28548480"/>
        <c:scaling>
          <c:orientation val="minMax"/>
          <c:min val="150"/>
        </c:scaling>
        <c:delete val="0"/>
        <c:axPos val="b"/>
        <c:title>
          <c:tx>
            <c:rich>
              <a:bodyPr/>
              <a:lstStyle/>
              <a:p>
                <a:pPr>
                  <a:defRPr/>
                </a:pPr>
                <a:r>
                  <a:rPr lang="en-US"/>
                  <a:t>Burn Time (Days)</a:t>
                </a:r>
              </a:p>
            </c:rich>
          </c:tx>
          <c:layout/>
          <c:overlay val="0"/>
        </c:title>
        <c:numFmt formatCode="General" sourceLinked="1"/>
        <c:majorTickMark val="out"/>
        <c:minorTickMark val="none"/>
        <c:tickLblPos val="nextTo"/>
        <c:crossAx val="28575616"/>
        <c:crosses val="autoZero"/>
        <c:crossBetween val="midCat"/>
      </c:valAx>
      <c:valAx>
        <c:axId val="28575616"/>
        <c:scaling>
          <c:orientation val="minMax"/>
        </c:scaling>
        <c:delete val="0"/>
        <c:axPos val="l"/>
        <c:majorGridlines/>
        <c:title>
          <c:tx>
            <c:rich>
              <a:bodyPr rot="-5400000" vert="horz"/>
              <a:lstStyle/>
              <a:p>
                <a:pPr>
                  <a:defRPr/>
                </a:pPr>
                <a:r>
                  <a:rPr lang="en-US"/>
                  <a:t>Mass (kg)</a:t>
                </a:r>
              </a:p>
            </c:rich>
          </c:tx>
          <c:layout/>
          <c:overlay val="0"/>
        </c:title>
        <c:numFmt formatCode="0.0" sourceLinked="1"/>
        <c:majorTickMark val="out"/>
        <c:minorTickMark val="none"/>
        <c:tickLblPos val="nextTo"/>
        <c:crossAx val="28548480"/>
        <c:crosses val="autoZero"/>
        <c:crossBetween val="midCat"/>
      </c:valAx>
      <c:valAx>
        <c:axId val="28585984"/>
        <c:scaling>
          <c:orientation val="minMax"/>
        </c:scaling>
        <c:delete val="0"/>
        <c:axPos val="r"/>
        <c:title>
          <c:tx>
            <c:rich>
              <a:bodyPr rot="-5400000" vert="horz"/>
              <a:lstStyle/>
              <a:p>
                <a:pPr>
                  <a:defRPr>
                    <a:solidFill>
                      <a:srgbClr val="FF0000"/>
                    </a:solidFill>
                  </a:defRPr>
                </a:pPr>
                <a:r>
                  <a:rPr lang="en-US">
                    <a:solidFill>
                      <a:srgbClr val="FF0000"/>
                    </a:solidFill>
                  </a:rPr>
                  <a:t>Power (Watts)</a:t>
                </a:r>
              </a:p>
            </c:rich>
          </c:tx>
          <c:layout/>
          <c:overlay val="0"/>
        </c:title>
        <c:numFmt formatCode="0.0" sourceLinked="1"/>
        <c:majorTickMark val="out"/>
        <c:minorTickMark val="none"/>
        <c:tickLblPos val="nextTo"/>
        <c:txPr>
          <a:bodyPr/>
          <a:lstStyle/>
          <a:p>
            <a:pPr>
              <a:defRPr>
                <a:solidFill>
                  <a:srgbClr val="FF0000"/>
                </a:solidFill>
              </a:defRPr>
            </a:pPr>
            <a:endParaRPr lang="en-US"/>
          </a:p>
        </c:txPr>
        <c:crossAx val="28587904"/>
        <c:crosses val="max"/>
        <c:crossBetween val="midCat"/>
      </c:valAx>
      <c:valAx>
        <c:axId val="28587904"/>
        <c:scaling>
          <c:orientation val="minMax"/>
        </c:scaling>
        <c:delete val="1"/>
        <c:axPos val="b"/>
        <c:numFmt formatCode="General" sourceLinked="1"/>
        <c:majorTickMark val="out"/>
        <c:minorTickMark val="none"/>
        <c:tickLblPos val="nextTo"/>
        <c:crossAx val="28585984"/>
        <c:crosses val="autoZero"/>
        <c:crossBetween val="midCat"/>
      </c:valAx>
    </c:plotArea>
    <c:legend>
      <c:legendPos val="l"/>
      <c:layout>
        <c:manualLayout>
          <c:xMode val="edge"/>
          <c:yMode val="edge"/>
          <c:x val="0.60790970469621475"/>
          <c:y val="0.24116947000323852"/>
          <c:w val="0.23585491125519378"/>
          <c:h val="0.24140717573850157"/>
        </c:manualLayout>
      </c:layout>
      <c:overlay val="1"/>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Electric Propulsion Total</a:t>
            </a:r>
            <a:r>
              <a:rPr lang="en-US" baseline="0"/>
              <a:t> Mass Constant</a:t>
            </a:r>
            <a:endParaRPr lang="en-US"/>
          </a:p>
        </c:rich>
      </c:tx>
      <c:overlay val="0"/>
    </c:title>
    <c:autoTitleDeleted val="0"/>
    <c:plotArea>
      <c:layout/>
      <c:scatterChart>
        <c:scatterStyle val="smoothMarker"/>
        <c:varyColors val="0"/>
        <c:ser>
          <c:idx val="1"/>
          <c:order val="0"/>
          <c:tx>
            <c:strRef>
              <c:f>'Propulsion Blank'!$X$34:$X$35</c:f>
              <c:strCache>
                <c:ptCount val="2"/>
                <c:pt idx="0">
                  <c:v>M Payload</c:v>
                </c:pt>
                <c:pt idx="1">
                  <c:v>I12</c:v>
                </c:pt>
              </c:strCache>
            </c:strRef>
          </c:tx>
          <c:marker>
            <c:symbol val="none"/>
          </c:marker>
          <c:xVal>
            <c:numRef>
              <c:f>'Propulsion Blank'!$V$36:$V$64</c:f>
              <c:numCache>
                <c:formatCode>General</c:formatCode>
                <c:ptCount val="29"/>
                <c:pt idx="0">
                  <c:v>150</c:v>
                </c:pt>
                <c:pt idx="1">
                  <c:v>160</c:v>
                </c:pt>
                <c:pt idx="2">
                  <c:v>170</c:v>
                </c:pt>
                <c:pt idx="3">
                  <c:v>180</c:v>
                </c:pt>
                <c:pt idx="4">
                  <c:v>190</c:v>
                </c:pt>
                <c:pt idx="5">
                  <c:v>200</c:v>
                </c:pt>
                <c:pt idx="6">
                  <c:v>210</c:v>
                </c:pt>
                <c:pt idx="7">
                  <c:v>220</c:v>
                </c:pt>
                <c:pt idx="8">
                  <c:v>230</c:v>
                </c:pt>
                <c:pt idx="9">
                  <c:v>240</c:v>
                </c:pt>
                <c:pt idx="10">
                  <c:v>250</c:v>
                </c:pt>
                <c:pt idx="11">
                  <c:v>260</c:v>
                </c:pt>
                <c:pt idx="12">
                  <c:v>270</c:v>
                </c:pt>
                <c:pt idx="13">
                  <c:v>280</c:v>
                </c:pt>
                <c:pt idx="14">
                  <c:v>290</c:v>
                </c:pt>
                <c:pt idx="15">
                  <c:v>300</c:v>
                </c:pt>
                <c:pt idx="16">
                  <c:v>310</c:v>
                </c:pt>
                <c:pt idx="17">
                  <c:v>320</c:v>
                </c:pt>
                <c:pt idx="18">
                  <c:v>330</c:v>
                </c:pt>
                <c:pt idx="19">
                  <c:v>340</c:v>
                </c:pt>
                <c:pt idx="20">
                  <c:v>350</c:v>
                </c:pt>
                <c:pt idx="21">
                  <c:v>360</c:v>
                </c:pt>
                <c:pt idx="22">
                  <c:v>370</c:v>
                </c:pt>
                <c:pt idx="23">
                  <c:v>380</c:v>
                </c:pt>
                <c:pt idx="24">
                  <c:v>390</c:v>
                </c:pt>
                <c:pt idx="25">
                  <c:v>400</c:v>
                </c:pt>
                <c:pt idx="26">
                  <c:v>410</c:v>
                </c:pt>
                <c:pt idx="27">
                  <c:v>420</c:v>
                </c:pt>
                <c:pt idx="28">
                  <c:v>430</c:v>
                </c:pt>
              </c:numCache>
            </c:numRef>
          </c:xVal>
          <c:yVal>
            <c:numRef>
              <c:f>'Propulsion Blank'!$X$36:$X$64</c:f>
              <c:numCache>
                <c:formatCode>0.0</c:formatCode>
                <c:ptCount val="29"/>
                <c:pt idx="0">
                  <c:v>7.8210729181200982</c:v>
                </c:pt>
                <c:pt idx="1">
                  <c:v>7.866196075818551</c:v>
                </c:pt>
                <c:pt idx="2">
                  <c:v>7.9060106267289507</c:v>
                </c:pt>
                <c:pt idx="3">
                  <c:v>7.9414013386493059</c:v>
                </c:pt>
                <c:pt idx="4">
                  <c:v>7.9730667124727823</c:v>
                </c:pt>
                <c:pt idx="5">
                  <c:v>8.001565548913911</c:v>
                </c:pt>
                <c:pt idx="6">
                  <c:v>8.0273502104558823</c:v>
                </c:pt>
                <c:pt idx="7">
                  <c:v>8.0507908118576772</c:v>
                </c:pt>
                <c:pt idx="8">
                  <c:v>8.0721931000940987</c:v>
                </c:pt>
                <c:pt idx="9">
                  <c:v>8.0918118643108166</c:v>
                </c:pt>
                <c:pt idx="10">
                  <c:v>8.1098611273901984</c:v>
                </c:pt>
                <c:pt idx="11">
                  <c:v>8.1265219856173196</c:v>
                </c:pt>
                <c:pt idx="12">
                  <c:v>8.1419487061979865</c:v>
                </c:pt>
                <c:pt idx="13">
                  <c:v>8.1562735181657491</c:v>
                </c:pt>
                <c:pt idx="14">
                  <c:v>8.1696104120667705</c:v>
                </c:pt>
                <c:pt idx="15">
                  <c:v>8.1820581797077239</c:v>
                </c:pt>
                <c:pt idx="16">
                  <c:v>8.1937028655653883</c:v>
                </c:pt>
                <c:pt idx="17">
                  <c:v>8.2046197585569498</c:v>
                </c:pt>
                <c:pt idx="18">
                  <c:v>8.2148750216702346</c:v>
                </c:pt>
                <c:pt idx="19">
                  <c:v>8.2245270340121515</c:v>
                </c:pt>
                <c:pt idx="20">
                  <c:v>8.2336275027916699</c:v>
                </c:pt>
                <c:pt idx="21">
                  <c:v>8.2422223899723281</c:v>
                </c:pt>
                <c:pt idx="22">
                  <c:v>8.2503526886567347</c:v>
                </c:pt>
                <c:pt idx="23">
                  <c:v>8.2580550768840659</c:v>
                </c:pt>
                <c:pt idx="24">
                  <c:v>8.2653624708433302</c:v>
                </c:pt>
                <c:pt idx="25">
                  <c:v>8.2723044951046312</c:v>
                </c:pt>
                <c:pt idx="26">
                  <c:v>8.2789078840361103</c:v>
                </c:pt>
                <c:pt idx="27">
                  <c:v>8.2851968258756159</c:v>
                </c:pt>
                <c:pt idx="28">
                  <c:v>8.2911932587923545</c:v>
                </c:pt>
              </c:numCache>
            </c:numRef>
          </c:yVal>
          <c:smooth val="1"/>
          <c:extLst>
            <c:ext xmlns:c16="http://schemas.microsoft.com/office/drawing/2014/chart" uri="{C3380CC4-5D6E-409C-BE32-E72D297353CC}">
              <c16:uniqueId val="{00000000-F25D-4857-BCD0-CE3D8ABC91E7}"/>
            </c:ext>
          </c:extLst>
        </c:ser>
        <c:dLbls>
          <c:showLegendKey val="0"/>
          <c:showVal val="0"/>
          <c:showCatName val="0"/>
          <c:showSerName val="0"/>
          <c:showPercent val="0"/>
          <c:showBubbleSize val="0"/>
        </c:dLbls>
        <c:axId val="28712320"/>
        <c:axId val="28735360"/>
      </c:scatterChart>
      <c:scatterChart>
        <c:scatterStyle val="smoothMarker"/>
        <c:varyColors val="0"/>
        <c:ser>
          <c:idx val="3"/>
          <c:order val="1"/>
          <c:tx>
            <c:strRef>
              <c:f>'Propulsion Blank'!$AA$34:$AA$35</c:f>
              <c:strCache>
                <c:ptCount val="2"/>
                <c:pt idx="0">
                  <c:v>Thrust</c:v>
                </c:pt>
                <c:pt idx="1">
                  <c:v>I28</c:v>
                </c:pt>
              </c:strCache>
            </c:strRef>
          </c:tx>
          <c:spPr>
            <a:ln>
              <a:solidFill>
                <a:srgbClr val="FF0000"/>
              </a:solidFill>
            </a:ln>
          </c:spPr>
          <c:marker>
            <c:symbol val="circle"/>
            <c:size val="5"/>
            <c:spPr>
              <a:solidFill>
                <a:srgbClr val="FF0000"/>
              </a:solidFill>
              <a:ln>
                <a:solidFill>
                  <a:schemeClr val="tx1"/>
                </a:solidFill>
              </a:ln>
            </c:spPr>
          </c:marker>
          <c:xVal>
            <c:numRef>
              <c:f>'Propulsion Blank'!$V$36:$V$64</c:f>
              <c:numCache>
                <c:formatCode>General</c:formatCode>
                <c:ptCount val="29"/>
                <c:pt idx="0">
                  <c:v>150</c:v>
                </c:pt>
                <c:pt idx="1">
                  <c:v>160</c:v>
                </c:pt>
                <c:pt idx="2">
                  <c:v>170</c:v>
                </c:pt>
                <c:pt idx="3">
                  <c:v>180</c:v>
                </c:pt>
                <c:pt idx="4">
                  <c:v>190</c:v>
                </c:pt>
                <c:pt idx="5">
                  <c:v>200</c:v>
                </c:pt>
                <c:pt idx="6">
                  <c:v>210</c:v>
                </c:pt>
                <c:pt idx="7">
                  <c:v>220</c:v>
                </c:pt>
                <c:pt idx="8">
                  <c:v>230</c:v>
                </c:pt>
                <c:pt idx="9">
                  <c:v>240</c:v>
                </c:pt>
                <c:pt idx="10">
                  <c:v>250</c:v>
                </c:pt>
                <c:pt idx="11">
                  <c:v>260</c:v>
                </c:pt>
                <c:pt idx="12">
                  <c:v>270</c:v>
                </c:pt>
                <c:pt idx="13">
                  <c:v>280</c:v>
                </c:pt>
                <c:pt idx="14">
                  <c:v>290</c:v>
                </c:pt>
                <c:pt idx="15">
                  <c:v>300</c:v>
                </c:pt>
                <c:pt idx="16">
                  <c:v>310</c:v>
                </c:pt>
                <c:pt idx="17">
                  <c:v>320</c:v>
                </c:pt>
                <c:pt idx="18">
                  <c:v>330</c:v>
                </c:pt>
                <c:pt idx="19">
                  <c:v>340</c:v>
                </c:pt>
                <c:pt idx="20">
                  <c:v>350</c:v>
                </c:pt>
                <c:pt idx="21">
                  <c:v>360</c:v>
                </c:pt>
                <c:pt idx="22">
                  <c:v>370</c:v>
                </c:pt>
                <c:pt idx="23">
                  <c:v>380</c:v>
                </c:pt>
                <c:pt idx="24">
                  <c:v>390</c:v>
                </c:pt>
                <c:pt idx="25">
                  <c:v>400</c:v>
                </c:pt>
                <c:pt idx="26">
                  <c:v>410</c:v>
                </c:pt>
                <c:pt idx="27">
                  <c:v>420</c:v>
                </c:pt>
                <c:pt idx="28">
                  <c:v>430</c:v>
                </c:pt>
              </c:numCache>
            </c:numRef>
          </c:xVal>
          <c:yVal>
            <c:numRef>
              <c:f>'Propulsion Blank'!$AA$36:$AA$64</c:f>
              <c:numCache>
                <c:formatCode>0.00E+00</c:formatCode>
                <c:ptCount val="29"/>
                <c:pt idx="0">
                  <c:v>2.6674047520869218E-7</c:v>
                </c:pt>
                <c:pt idx="1">
                  <c:v>2.5006919550814889E-7</c:v>
                </c:pt>
                <c:pt idx="2">
                  <c:v>2.3535924283119892E-7</c:v>
                </c:pt>
                <c:pt idx="3">
                  <c:v>2.2228372934057678E-7</c:v>
                </c:pt>
                <c:pt idx="4">
                  <c:v>2.1058458569107275E-7</c:v>
                </c:pt>
                <c:pt idx="5">
                  <c:v>2.0005535640651911E-7</c:v>
                </c:pt>
                <c:pt idx="6">
                  <c:v>1.905289108633515E-7</c:v>
                </c:pt>
                <c:pt idx="7">
                  <c:v>1.8186850582410827E-7</c:v>
                </c:pt>
                <c:pt idx="8">
                  <c:v>1.7396117948392966E-7</c:v>
                </c:pt>
                <c:pt idx="9">
                  <c:v>1.6671279700543252E-7</c:v>
                </c:pt>
                <c:pt idx="10">
                  <c:v>1.6004428512521527E-7</c:v>
                </c:pt>
                <c:pt idx="11">
                  <c:v>1.5388873569732239E-7</c:v>
                </c:pt>
                <c:pt idx="12">
                  <c:v>1.4818915289371783E-7</c:v>
                </c:pt>
                <c:pt idx="13">
                  <c:v>1.4289668314751365E-7</c:v>
                </c:pt>
                <c:pt idx="14">
                  <c:v>1.3796921131484072E-7</c:v>
                </c:pt>
                <c:pt idx="15">
                  <c:v>1.3337023760434604E-7</c:v>
                </c:pt>
                <c:pt idx="16">
                  <c:v>1.2906797187517361E-7</c:v>
                </c:pt>
                <c:pt idx="17">
                  <c:v>1.2503459775407442E-7</c:v>
                </c:pt>
                <c:pt idx="18">
                  <c:v>1.2124567054940549E-7</c:v>
                </c:pt>
                <c:pt idx="19">
                  <c:v>1.1767962141559949E-7</c:v>
                </c:pt>
                <c:pt idx="20">
                  <c:v>1.143173465180109E-7</c:v>
                </c:pt>
                <c:pt idx="21">
                  <c:v>1.1114186467028839E-7</c:v>
                </c:pt>
                <c:pt idx="22">
                  <c:v>1.0813803049001032E-7</c:v>
                </c:pt>
                <c:pt idx="23">
                  <c:v>1.0529229284553637E-7</c:v>
                </c:pt>
                <c:pt idx="24">
                  <c:v>1.0259249046488158E-7</c:v>
                </c:pt>
                <c:pt idx="25">
                  <c:v>1.0002767820325956E-7</c:v>
                </c:pt>
                <c:pt idx="26">
                  <c:v>9.7587978734887346E-8</c:v>
                </c:pt>
                <c:pt idx="27">
                  <c:v>9.5264455431675751E-8</c:v>
                </c:pt>
                <c:pt idx="28">
                  <c:v>9.3049002979776307E-8</c:v>
                </c:pt>
              </c:numCache>
            </c:numRef>
          </c:yVal>
          <c:smooth val="1"/>
          <c:extLst>
            <c:ext xmlns:c16="http://schemas.microsoft.com/office/drawing/2014/chart" uri="{C3380CC4-5D6E-409C-BE32-E72D297353CC}">
              <c16:uniqueId val="{00000001-F25D-4857-BCD0-CE3D8ABC91E7}"/>
            </c:ext>
          </c:extLst>
        </c:ser>
        <c:dLbls>
          <c:showLegendKey val="0"/>
          <c:showVal val="0"/>
          <c:showCatName val="0"/>
          <c:showSerName val="0"/>
          <c:showPercent val="0"/>
          <c:showBubbleSize val="0"/>
        </c:dLbls>
        <c:axId val="28755840"/>
        <c:axId val="28753920"/>
      </c:scatterChart>
      <c:valAx>
        <c:axId val="28712320"/>
        <c:scaling>
          <c:orientation val="minMax"/>
          <c:min val="150"/>
        </c:scaling>
        <c:delete val="0"/>
        <c:axPos val="b"/>
        <c:title>
          <c:tx>
            <c:rich>
              <a:bodyPr/>
              <a:lstStyle/>
              <a:p>
                <a:pPr>
                  <a:defRPr/>
                </a:pPr>
                <a:r>
                  <a:rPr lang="en-US"/>
                  <a:t>Burn Time (Days)</a:t>
                </a:r>
              </a:p>
            </c:rich>
          </c:tx>
          <c:overlay val="0"/>
        </c:title>
        <c:numFmt formatCode="General" sourceLinked="1"/>
        <c:majorTickMark val="out"/>
        <c:minorTickMark val="none"/>
        <c:tickLblPos val="nextTo"/>
        <c:crossAx val="28735360"/>
        <c:crosses val="autoZero"/>
        <c:crossBetween val="midCat"/>
      </c:valAx>
      <c:valAx>
        <c:axId val="28735360"/>
        <c:scaling>
          <c:orientation val="minMax"/>
        </c:scaling>
        <c:delete val="0"/>
        <c:axPos val="l"/>
        <c:majorGridlines/>
        <c:title>
          <c:tx>
            <c:rich>
              <a:bodyPr rot="-5400000" vert="horz"/>
              <a:lstStyle/>
              <a:p>
                <a:pPr>
                  <a:defRPr/>
                </a:pPr>
                <a:r>
                  <a:rPr lang="en-US"/>
                  <a:t>Mass (kg)</a:t>
                </a:r>
              </a:p>
            </c:rich>
          </c:tx>
          <c:overlay val="0"/>
        </c:title>
        <c:numFmt formatCode="0.0" sourceLinked="1"/>
        <c:majorTickMark val="out"/>
        <c:minorTickMark val="none"/>
        <c:tickLblPos val="nextTo"/>
        <c:crossAx val="28712320"/>
        <c:crosses val="autoZero"/>
        <c:crossBetween val="midCat"/>
      </c:valAx>
      <c:valAx>
        <c:axId val="28753920"/>
        <c:scaling>
          <c:orientation val="minMax"/>
        </c:scaling>
        <c:delete val="0"/>
        <c:axPos val="r"/>
        <c:title>
          <c:tx>
            <c:rich>
              <a:bodyPr rot="-5400000" vert="horz"/>
              <a:lstStyle/>
              <a:p>
                <a:pPr>
                  <a:defRPr>
                    <a:solidFill>
                      <a:srgbClr val="FF0000"/>
                    </a:solidFill>
                  </a:defRPr>
                </a:pPr>
                <a:r>
                  <a:rPr lang="en-US">
                    <a:solidFill>
                      <a:srgbClr val="FF0000"/>
                    </a:solidFill>
                  </a:rPr>
                  <a:t>Thrust (N)</a:t>
                </a:r>
              </a:p>
            </c:rich>
          </c:tx>
          <c:overlay val="0"/>
        </c:title>
        <c:numFmt formatCode="0.00E+00" sourceLinked="1"/>
        <c:majorTickMark val="out"/>
        <c:minorTickMark val="none"/>
        <c:tickLblPos val="nextTo"/>
        <c:txPr>
          <a:bodyPr/>
          <a:lstStyle/>
          <a:p>
            <a:pPr>
              <a:defRPr>
                <a:solidFill>
                  <a:srgbClr val="FF0000"/>
                </a:solidFill>
              </a:defRPr>
            </a:pPr>
            <a:endParaRPr lang="en-US"/>
          </a:p>
        </c:txPr>
        <c:crossAx val="28755840"/>
        <c:crosses val="max"/>
        <c:crossBetween val="midCat"/>
      </c:valAx>
      <c:valAx>
        <c:axId val="28755840"/>
        <c:scaling>
          <c:orientation val="minMax"/>
        </c:scaling>
        <c:delete val="1"/>
        <c:axPos val="b"/>
        <c:numFmt formatCode="General" sourceLinked="1"/>
        <c:majorTickMark val="out"/>
        <c:minorTickMark val="none"/>
        <c:tickLblPos val="nextTo"/>
        <c:crossAx val="28753920"/>
        <c:crosses val="autoZero"/>
        <c:crossBetween val="midCat"/>
      </c:valAx>
    </c:plotArea>
    <c:legend>
      <c:legendPos val="l"/>
      <c:layout>
        <c:manualLayout>
          <c:xMode val="edge"/>
          <c:yMode val="edge"/>
          <c:x val="0.60790970469621475"/>
          <c:y val="0.24116947000323852"/>
          <c:w val="0.20329906678331874"/>
          <c:h val="0.1255757874015748"/>
        </c:manualLayout>
      </c:layout>
      <c:overlay val="1"/>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Electric Propulsion Total Mass Constant</a:t>
            </a:r>
          </a:p>
        </c:rich>
      </c:tx>
      <c:layout/>
      <c:overlay val="0"/>
    </c:title>
    <c:autoTitleDeleted val="0"/>
    <c:plotArea>
      <c:layout/>
      <c:scatterChart>
        <c:scatterStyle val="smoothMarker"/>
        <c:varyColors val="0"/>
        <c:ser>
          <c:idx val="1"/>
          <c:order val="0"/>
          <c:tx>
            <c:strRef>
              <c:f>'Propulsion Blank'!$X$34:$X$35</c:f>
              <c:strCache>
                <c:ptCount val="2"/>
                <c:pt idx="0">
                  <c:v>M Payload</c:v>
                </c:pt>
                <c:pt idx="1">
                  <c:v>I12</c:v>
                </c:pt>
              </c:strCache>
            </c:strRef>
          </c:tx>
          <c:marker>
            <c:symbol val="none"/>
          </c:marker>
          <c:xVal>
            <c:numRef>
              <c:f>'Propulsion Blank'!$V$36:$V$64</c:f>
              <c:numCache>
                <c:formatCode>General</c:formatCode>
                <c:ptCount val="29"/>
                <c:pt idx="0">
                  <c:v>150</c:v>
                </c:pt>
                <c:pt idx="1">
                  <c:v>160</c:v>
                </c:pt>
                <c:pt idx="2">
                  <c:v>170</c:v>
                </c:pt>
                <c:pt idx="3">
                  <c:v>180</c:v>
                </c:pt>
                <c:pt idx="4">
                  <c:v>190</c:v>
                </c:pt>
                <c:pt idx="5">
                  <c:v>200</c:v>
                </c:pt>
                <c:pt idx="6">
                  <c:v>210</c:v>
                </c:pt>
                <c:pt idx="7">
                  <c:v>220</c:v>
                </c:pt>
                <c:pt idx="8">
                  <c:v>230</c:v>
                </c:pt>
                <c:pt idx="9">
                  <c:v>240</c:v>
                </c:pt>
                <c:pt idx="10">
                  <c:v>250</c:v>
                </c:pt>
                <c:pt idx="11">
                  <c:v>260</c:v>
                </c:pt>
                <c:pt idx="12">
                  <c:v>270</c:v>
                </c:pt>
                <c:pt idx="13">
                  <c:v>280</c:v>
                </c:pt>
                <c:pt idx="14">
                  <c:v>290</c:v>
                </c:pt>
                <c:pt idx="15">
                  <c:v>300</c:v>
                </c:pt>
                <c:pt idx="16">
                  <c:v>310</c:v>
                </c:pt>
                <c:pt idx="17">
                  <c:v>320</c:v>
                </c:pt>
                <c:pt idx="18">
                  <c:v>330</c:v>
                </c:pt>
                <c:pt idx="19">
                  <c:v>340</c:v>
                </c:pt>
                <c:pt idx="20">
                  <c:v>350</c:v>
                </c:pt>
                <c:pt idx="21">
                  <c:v>360</c:v>
                </c:pt>
                <c:pt idx="22">
                  <c:v>370</c:v>
                </c:pt>
                <c:pt idx="23">
                  <c:v>380</c:v>
                </c:pt>
                <c:pt idx="24">
                  <c:v>390</c:v>
                </c:pt>
                <c:pt idx="25">
                  <c:v>400</c:v>
                </c:pt>
                <c:pt idx="26">
                  <c:v>410</c:v>
                </c:pt>
                <c:pt idx="27">
                  <c:v>420</c:v>
                </c:pt>
                <c:pt idx="28">
                  <c:v>430</c:v>
                </c:pt>
              </c:numCache>
            </c:numRef>
          </c:xVal>
          <c:yVal>
            <c:numRef>
              <c:f>'Propulsion Blank'!$X$36:$X$64</c:f>
              <c:numCache>
                <c:formatCode>0.0</c:formatCode>
                <c:ptCount val="29"/>
                <c:pt idx="0">
                  <c:v>7.8210729181200982</c:v>
                </c:pt>
                <c:pt idx="1">
                  <c:v>7.866196075818551</c:v>
                </c:pt>
                <c:pt idx="2">
                  <c:v>7.9060106267289507</c:v>
                </c:pt>
                <c:pt idx="3">
                  <c:v>7.9414013386493059</c:v>
                </c:pt>
                <c:pt idx="4">
                  <c:v>7.9730667124727823</c:v>
                </c:pt>
                <c:pt idx="5">
                  <c:v>8.001565548913911</c:v>
                </c:pt>
                <c:pt idx="6">
                  <c:v>8.0273502104558823</c:v>
                </c:pt>
                <c:pt idx="7">
                  <c:v>8.0507908118576772</c:v>
                </c:pt>
                <c:pt idx="8">
                  <c:v>8.0721931000940987</c:v>
                </c:pt>
                <c:pt idx="9">
                  <c:v>8.0918118643108166</c:v>
                </c:pt>
                <c:pt idx="10">
                  <c:v>8.1098611273901984</c:v>
                </c:pt>
                <c:pt idx="11">
                  <c:v>8.1265219856173196</c:v>
                </c:pt>
                <c:pt idx="12">
                  <c:v>8.1419487061979865</c:v>
                </c:pt>
                <c:pt idx="13">
                  <c:v>8.1562735181657491</c:v>
                </c:pt>
                <c:pt idx="14">
                  <c:v>8.1696104120667705</c:v>
                </c:pt>
                <c:pt idx="15">
                  <c:v>8.1820581797077239</c:v>
                </c:pt>
                <c:pt idx="16">
                  <c:v>8.1937028655653883</c:v>
                </c:pt>
                <c:pt idx="17">
                  <c:v>8.2046197585569498</c:v>
                </c:pt>
                <c:pt idx="18">
                  <c:v>8.2148750216702346</c:v>
                </c:pt>
                <c:pt idx="19">
                  <c:v>8.2245270340121515</c:v>
                </c:pt>
                <c:pt idx="20">
                  <c:v>8.2336275027916699</c:v>
                </c:pt>
                <c:pt idx="21">
                  <c:v>8.2422223899723281</c:v>
                </c:pt>
                <c:pt idx="22">
                  <c:v>8.2503526886567347</c:v>
                </c:pt>
                <c:pt idx="23">
                  <c:v>8.2580550768840659</c:v>
                </c:pt>
                <c:pt idx="24">
                  <c:v>8.2653624708433302</c:v>
                </c:pt>
                <c:pt idx="25">
                  <c:v>8.2723044951046312</c:v>
                </c:pt>
                <c:pt idx="26">
                  <c:v>8.2789078840361103</c:v>
                </c:pt>
                <c:pt idx="27">
                  <c:v>8.2851968258756159</c:v>
                </c:pt>
                <c:pt idx="28">
                  <c:v>8.2911932587923545</c:v>
                </c:pt>
              </c:numCache>
            </c:numRef>
          </c:yVal>
          <c:smooth val="1"/>
          <c:extLst>
            <c:ext xmlns:c16="http://schemas.microsoft.com/office/drawing/2014/chart" uri="{C3380CC4-5D6E-409C-BE32-E72D297353CC}">
              <c16:uniqueId val="{00000000-5DBF-44B3-A53A-3E68657AB8DF}"/>
            </c:ext>
          </c:extLst>
        </c:ser>
        <c:dLbls>
          <c:showLegendKey val="0"/>
          <c:showVal val="0"/>
          <c:showCatName val="0"/>
          <c:showSerName val="0"/>
          <c:showPercent val="0"/>
          <c:showBubbleSize val="0"/>
        </c:dLbls>
        <c:axId val="28778496"/>
        <c:axId val="28780800"/>
      </c:scatterChart>
      <c:scatterChart>
        <c:scatterStyle val="smoothMarker"/>
        <c:varyColors val="0"/>
        <c:ser>
          <c:idx val="3"/>
          <c:order val="1"/>
          <c:tx>
            <c:strRef>
              <c:f>'Propulsion Blank'!$Z$34:$Z$35</c:f>
              <c:strCache>
                <c:ptCount val="2"/>
                <c:pt idx="0">
                  <c:v>Power</c:v>
                </c:pt>
                <c:pt idx="1">
                  <c:v>I30</c:v>
                </c:pt>
              </c:strCache>
            </c:strRef>
          </c:tx>
          <c:spPr>
            <a:ln>
              <a:solidFill>
                <a:srgbClr val="FF0000"/>
              </a:solidFill>
            </a:ln>
          </c:spPr>
          <c:marker>
            <c:symbol val="circle"/>
            <c:size val="5"/>
            <c:spPr>
              <a:solidFill>
                <a:srgbClr val="FF0000"/>
              </a:solidFill>
              <a:ln>
                <a:solidFill>
                  <a:schemeClr val="tx1"/>
                </a:solidFill>
              </a:ln>
            </c:spPr>
          </c:marker>
          <c:xVal>
            <c:numRef>
              <c:f>'Propulsion Blank'!$V$36:$V$64</c:f>
              <c:numCache>
                <c:formatCode>General</c:formatCode>
                <c:ptCount val="29"/>
                <c:pt idx="0">
                  <c:v>150</c:v>
                </c:pt>
                <c:pt idx="1">
                  <c:v>160</c:v>
                </c:pt>
                <c:pt idx="2">
                  <c:v>170</c:v>
                </c:pt>
                <c:pt idx="3">
                  <c:v>180</c:v>
                </c:pt>
                <c:pt idx="4">
                  <c:v>190</c:v>
                </c:pt>
                <c:pt idx="5">
                  <c:v>200</c:v>
                </c:pt>
                <c:pt idx="6">
                  <c:v>210</c:v>
                </c:pt>
                <c:pt idx="7">
                  <c:v>220</c:v>
                </c:pt>
                <c:pt idx="8">
                  <c:v>230</c:v>
                </c:pt>
                <c:pt idx="9">
                  <c:v>240</c:v>
                </c:pt>
                <c:pt idx="10">
                  <c:v>250</c:v>
                </c:pt>
                <c:pt idx="11">
                  <c:v>260</c:v>
                </c:pt>
                <c:pt idx="12">
                  <c:v>270</c:v>
                </c:pt>
                <c:pt idx="13">
                  <c:v>280</c:v>
                </c:pt>
                <c:pt idx="14">
                  <c:v>290</c:v>
                </c:pt>
                <c:pt idx="15">
                  <c:v>300</c:v>
                </c:pt>
                <c:pt idx="16">
                  <c:v>310</c:v>
                </c:pt>
                <c:pt idx="17">
                  <c:v>320</c:v>
                </c:pt>
                <c:pt idx="18">
                  <c:v>330</c:v>
                </c:pt>
                <c:pt idx="19">
                  <c:v>340</c:v>
                </c:pt>
                <c:pt idx="20">
                  <c:v>350</c:v>
                </c:pt>
                <c:pt idx="21">
                  <c:v>360</c:v>
                </c:pt>
                <c:pt idx="22">
                  <c:v>370</c:v>
                </c:pt>
                <c:pt idx="23">
                  <c:v>380</c:v>
                </c:pt>
                <c:pt idx="24">
                  <c:v>390</c:v>
                </c:pt>
                <c:pt idx="25">
                  <c:v>400</c:v>
                </c:pt>
                <c:pt idx="26">
                  <c:v>410</c:v>
                </c:pt>
                <c:pt idx="27">
                  <c:v>420</c:v>
                </c:pt>
                <c:pt idx="28">
                  <c:v>430</c:v>
                </c:pt>
              </c:numCache>
            </c:numRef>
          </c:xVal>
          <c:yVal>
            <c:numRef>
              <c:f>'Propulsion Blank'!$Z$36:$Z$64</c:f>
              <c:numCache>
                <c:formatCode>0.0</c:formatCode>
                <c:ptCount val="29"/>
                <c:pt idx="0">
                  <c:v>3.2709050772465869E-4</c:v>
                </c:pt>
                <c:pt idx="1">
                  <c:v>3.0664735099186758E-4</c:v>
                </c:pt>
                <c:pt idx="2">
                  <c:v>2.8860927152175772E-4</c:v>
                </c:pt>
                <c:pt idx="3">
                  <c:v>2.7257542310388228E-4</c:v>
                </c:pt>
                <c:pt idx="4">
                  <c:v>2.5822934820367792E-4</c:v>
                </c:pt>
                <c:pt idx="5">
                  <c:v>2.4531788079349402E-4</c:v>
                </c:pt>
                <c:pt idx="6">
                  <c:v>2.3363607694618476E-4</c:v>
                </c:pt>
                <c:pt idx="7">
                  <c:v>2.2301625526681274E-4</c:v>
                </c:pt>
                <c:pt idx="8">
                  <c:v>2.1331989634216874E-4</c:v>
                </c:pt>
                <c:pt idx="9">
                  <c:v>2.0443156732791165E-4</c:v>
                </c:pt>
                <c:pt idx="10">
                  <c:v>1.9625430463479524E-4</c:v>
                </c:pt>
                <c:pt idx="11">
                  <c:v>1.8870606214884159E-4</c:v>
                </c:pt>
                <c:pt idx="12">
                  <c:v>1.8171694873592148E-4</c:v>
                </c:pt>
                <c:pt idx="13">
                  <c:v>1.7522705770963863E-4</c:v>
                </c:pt>
                <c:pt idx="14">
                  <c:v>1.6918474537482345E-4</c:v>
                </c:pt>
                <c:pt idx="15">
                  <c:v>1.6354525386232934E-4</c:v>
                </c:pt>
                <c:pt idx="16">
                  <c:v>1.5826960051193163E-4</c:v>
                </c:pt>
                <c:pt idx="17">
                  <c:v>1.5332367549593379E-4</c:v>
                </c:pt>
                <c:pt idx="18">
                  <c:v>1.486775035112085E-4</c:v>
                </c:pt>
                <c:pt idx="19">
                  <c:v>1.4430463576087886E-4</c:v>
                </c:pt>
                <c:pt idx="20">
                  <c:v>1.4018164616771086E-4</c:v>
                </c:pt>
                <c:pt idx="21">
                  <c:v>1.3628771155194114E-4</c:v>
                </c:pt>
                <c:pt idx="22">
                  <c:v>1.3260425988837515E-4</c:v>
                </c:pt>
                <c:pt idx="23">
                  <c:v>1.2911467410183899E-4</c:v>
                </c:pt>
                <c:pt idx="24">
                  <c:v>1.2580404143256103E-4</c:v>
                </c:pt>
                <c:pt idx="25">
                  <c:v>1.2265894039674701E-4</c:v>
                </c:pt>
                <c:pt idx="26">
                  <c:v>1.1966725892365563E-4</c:v>
                </c:pt>
                <c:pt idx="27">
                  <c:v>1.1681803847309238E-4</c:v>
                </c:pt>
                <c:pt idx="28">
                  <c:v>1.141013399039507E-4</c:v>
                </c:pt>
              </c:numCache>
            </c:numRef>
          </c:yVal>
          <c:smooth val="1"/>
          <c:extLst>
            <c:ext xmlns:c16="http://schemas.microsoft.com/office/drawing/2014/chart" uri="{C3380CC4-5D6E-409C-BE32-E72D297353CC}">
              <c16:uniqueId val="{00000001-5DBF-44B3-A53A-3E68657AB8DF}"/>
            </c:ext>
          </c:extLst>
        </c:ser>
        <c:dLbls>
          <c:showLegendKey val="0"/>
          <c:showVal val="0"/>
          <c:showCatName val="0"/>
          <c:showSerName val="0"/>
          <c:showPercent val="0"/>
          <c:showBubbleSize val="0"/>
        </c:dLbls>
        <c:axId val="28788992"/>
        <c:axId val="28787072"/>
      </c:scatterChart>
      <c:valAx>
        <c:axId val="28778496"/>
        <c:scaling>
          <c:orientation val="minMax"/>
          <c:min val="150"/>
        </c:scaling>
        <c:delete val="0"/>
        <c:axPos val="b"/>
        <c:title>
          <c:tx>
            <c:rich>
              <a:bodyPr/>
              <a:lstStyle/>
              <a:p>
                <a:pPr>
                  <a:defRPr/>
                </a:pPr>
                <a:r>
                  <a:rPr lang="en-US"/>
                  <a:t>Burn Time (Days)</a:t>
                </a:r>
              </a:p>
            </c:rich>
          </c:tx>
          <c:layout/>
          <c:overlay val="0"/>
        </c:title>
        <c:numFmt formatCode="General" sourceLinked="1"/>
        <c:majorTickMark val="out"/>
        <c:minorTickMark val="none"/>
        <c:tickLblPos val="nextTo"/>
        <c:crossAx val="28780800"/>
        <c:crosses val="autoZero"/>
        <c:crossBetween val="midCat"/>
      </c:valAx>
      <c:valAx>
        <c:axId val="28780800"/>
        <c:scaling>
          <c:orientation val="minMax"/>
        </c:scaling>
        <c:delete val="0"/>
        <c:axPos val="l"/>
        <c:majorGridlines/>
        <c:title>
          <c:tx>
            <c:rich>
              <a:bodyPr rot="-5400000" vert="horz"/>
              <a:lstStyle/>
              <a:p>
                <a:pPr>
                  <a:defRPr/>
                </a:pPr>
                <a:r>
                  <a:rPr lang="en-US"/>
                  <a:t>Mass (kg)</a:t>
                </a:r>
              </a:p>
            </c:rich>
          </c:tx>
          <c:layout/>
          <c:overlay val="0"/>
        </c:title>
        <c:numFmt formatCode="0.0" sourceLinked="1"/>
        <c:majorTickMark val="out"/>
        <c:minorTickMark val="none"/>
        <c:tickLblPos val="nextTo"/>
        <c:crossAx val="28778496"/>
        <c:crosses val="autoZero"/>
        <c:crossBetween val="midCat"/>
      </c:valAx>
      <c:valAx>
        <c:axId val="28787072"/>
        <c:scaling>
          <c:orientation val="minMax"/>
        </c:scaling>
        <c:delete val="0"/>
        <c:axPos val="r"/>
        <c:title>
          <c:tx>
            <c:rich>
              <a:bodyPr rot="-5400000" vert="horz"/>
              <a:lstStyle/>
              <a:p>
                <a:pPr>
                  <a:defRPr>
                    <a:solidFill>
                      <a:srgbClr val="FF0000"/>
                    </a:solidFill>
                  </a:defRPr>
                </a:pPr>
                <a:r>
                  <a:rPr lang="en-US">
                    <a:solidFill>
                      <a:srgbClr val="FF0000"/>
                    </a:solidFill>
                  </a:rPr>
                  <a:t>Power (Watts)</a:t>
                </a:r>
              </a:p>
            </c:rich>
          </c:tx>
          <c:layout/>
          <c:overlay val="0"/>
        </c:title>
        <c:numFmt formatCode="0.0" sourceLinked="1"/>
        <c:majorTickMark val="out"/>
        <c:minorTickMark val="none"/>
        <c:tickLblPos val="nextTo"/>
        <c:txPr>
          <a:bodyPr/>
          <a:lstStyle/>
          <a:p>
            <a:pPr>
              <a:defRPr>
                <a:solidFill>
                  <a:srgbClr val="FF0000"/>
                </a:solidFill>
              </a:defRPr>
            </a:pPr>
            <a:endParaRPr lang="en-US"/>
          </a:p>
        </c:txPr>
        <c:crossAx val="28788992"/>
        <c:crosses val="max"/>
        <c:crossBetween val="midCat"/>
      </c:valAx>
      <c:valAx>
        <c:axId val="28788992"/>
        <c:scaling>
          <c:orientation val="minMax"/>
        </c:scaling>
        <c:delete val="1"/>
        <c:axPos val="b"/>
        <c:numFmt formatCode="General" sourceLinked="1"/>
        <c:majorTickMark val="out"/>
        <c:minorTickMark val="none"/>
        <c:tickLblPos val="nextTo"/>
        <c:crossAx val="28787072"/>
        <c:crosses val="autoZero"/>
        <c:crossBetween val="midCat"/>
      </c:valAx>
    </c:plotArea>
    <c:legend>
      <c:legendPos val="l"/>
      <c:layout>
        <c:manualLayout>
          <c:xMode val="edge"/>
          <c:yMode val="edge"/>
          <c:x val="0.60534013917883922"/>
          <c:y val="0.12833765707082637"/>
          <c:w val="0.23585491125519378"/>
          <c:h val="0.11530111817913861"/>
        </c:manualLayout>
      </c:layout>
      <c:overlay val="1"/>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Drop" dropLines="7" dropStyle="combo" dx="16" fmlaLink="$D$14" fmlaRange="$B$68:$B$72" noThreeD="1" sel="2" val="0"/>
</file>

<file path=xl/ctrlProps/ctrlProp2.xml><?xml version="1.0" encoding="utf-8"?>
<formControlPr xmlns="http://schemas.microsoft.com/office/spreadsheetml/2009/9/main" objectType="Drop" dropLines="7" dropStyle="combo" dx="16" fmlaLink="$I$17" fmlaRange="$D$168:$D$185" noThreeD="1" sel="10" val="9"/>
</file>

<file path=xl/ctrlProps/ctrlProp3.xml><?xml version="1.0" encoding="utf-8"?>
<formControlPr xmlns="http://schemas.microsoft.com/office/spreadsheetml/2009/9/main" objectType="Drop" dropLines="7" dropStyle="combo" dx="16" fmlaLink="$D$31" fmlaRange="$B$76:$B$79" noThreeD="1" sel="2" val="0"/>
</file>

<file path=xl/ctrlProps/ctrlProp4.xml><?xml version="1.0" encoding="utf-8"?>
<formControlPr xmlns="http://schemas.microsoft.com/office/spreadsheetml/2009/9/main" objectType="Drop" dropLines="7" dropStyle="combo" dx="16" fmlaLink="$B$60" fmlaRange="$D$83:$D$142" noThreeD="1" sel="2" val="0"/>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7" dropStyle="combo" dx="16" fmlaLink="$D$14" fmlaRange="$B$68:$B$72" noThreeD="1" sel="5" val="0"/>
</file>

<file path=xl/ctrlProps/ctrlProp10.xml><?xml version="1.0" encoding="utf-8"?>
<formControlPr xmlns="http://schemas.microsoft.com/office/spreadsheetml/2009/9/main" objectType="Drop" dropLines="7" dropStyle="combo" dx="16" fmlaLink="$I$17" fmlaRange="$D$168:$D$185" noThreeD="1" sel="14" val="11"/>
</file>

<file path=xl/ctrlProps/ctrlProp11.xml><?xml version="1.0" encoding="utf-8"?>
<formControlPr xmlns="http://schemas.microsoft.com/office/spreadsheetml/2009/9/main" objectType="Drop" dropLines="7" dropStyle="combo" dx="16" fmlaLink="$D$31" fmlaRange="$B$76:$B$79" noThreeD="1" sel="4" val="0"/>
</file>

<file path=xl/ctrlProps/ctrlProp12.xml><?xml version="1.0" encoding="utf-8"?>
<formControlPr xmlns="http://schemas.microsoft.com/office/spreadsheetml/2009/9/main" objectType="Drop" dropLines="7" dropStyle="combo" dx="16" fmlaLink="$B$60" fmlaRange="$D$83:$D$142" noThreeD="1" sel="2" val="0"/>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13</xdr:row>
          <xdr:rowOff>0</xdr:rowOff>
        </xdr:from>
        <xdr:to>
          <xdr:col>3</xdr:col>
          <xdr:colOff>0</xdr:colOff>
          <xdr:row>14</xdr:row>
          <xdr:rowOff>9525</xdr:rowOff>
        </xdr:to>
        <xdr:sp macro="" textlink="">
          <xdr:nvSpPr>
            <xdr:cNvPr id="26625" name="Drop Down 1"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16</xdr:row>
          <xdr:rowOff>9525</xdr:rowOff>
        </xdr:from>
        <xdr:to>
          <xdr:col>6</xdr:col>
          <xdr:colOff>1866900</xdr:colOff>
          <xdr:row>17</xdr:row>
          <xdr:rowOff>28575</xdr:rowOff>
        </xdr:to>
        <xdr:sp macro="" textlink="">
          <xdr:nvSpPr>
            <xdr:cNvPr id="26626" name="Drop Down 2" hidden="1">
              <a:extLst>
                <a:ext uri="{63B3BB69-23CF-44E3-9099-C40C66FF867C}">
                  <a14:compatExt spid="_x0000_s266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2095500</xdr:colOff>
          <xdr:row>29</xdr:row>
          <xdr:rowOff>190500</xdr:rowOff>
        </xdr:from>
        <xdr:to>
          <xdr:col>3</xdr:col>
          <xdr:colOff>0</xdr:colOff>
          <xdr:row>30</xdr:row>
          <xdr:rowOff>180975</xdr:rowOff>
        </xdr:to>
        <xdr:sp macro="" textlink="">
          <xdr:nvSpPr>
            <xdr:cNvPr id="26627" name="Drop Down 3" hidden="1">
              <a:extLst>
                <a:ext uri="{63B3BB69-23CF-44E3-9099-C40C66FF867C}">
                  <a14:compatExt spid="_x0000_s266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1990725</xdr:colOff>
          <xdr:row>60</xdr:row>
          <xdr:rowOff>0</xdr:rowOff>
        </xdr:to>
        <xdr:sp macro="" textlink="">
          <xdr:nvSpPr>
            <xdr:cNvPr id="26628" name="Drop Down 4" hidden="1">
              <a:extLst>
                <a:ext uri="{63B3BB69-23CF-44E3-9099-C40C66FF867C}">
                  <a14:compatExt spid="_x0000_s266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76200</xdr:colOff>
          <xdr:row>20</xdr:row>
          <xdr:rowOff>0</xdr:rowOff>
        </xdr:from>
        <xdr:to>
          <xdr:col>17</xdr:col>
          <xdr:colOff>533400</xdr:colOff>
          <xdr:row>21</xdr:row>
          <xdr:rowOff>190500</xdr:rowOff>
        </xdr:to>
        <xdr:sp macro="" textlink="">
          <xdr:nvSpPr>
            <xdr:cNvPr id="26629" name="Button 5" hidden="1">
              <a:extLst>
                <a:ext uri="{63B3BB69-23CF-44E3-9099-C40C66FF867C}">
                  <a14:compatExt spid="_x0000_s266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Goal Seek Operating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457200</xdr:colOff>
          <xdr:row>33</xdr:row>
          <xdr:rowOff>9525</xdr:rowOff>
        </xdr:from>
        <xdr:to>
          <xdr:col>6</xdr:col>
          <xdr:colOff>1819275</xdr:colOff>
          <xdr:row>34</xdr:row>
          <xdr:rowOff>114300</xdr:rowOff>
        </xdr:to>
        <xdr:sp macro="" textlink="">
          <xdr:nvSpPr>
            <xdr:cNvPr id="26630" name="Button 6" hidden="1">
              <a:extLst>
                <a:ext uri="{63B3BB69-23CF-44E3-9099-C40C66FF867C}">
                  <a14:compatExt spid="_x0000_s266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ISP Table</a:t>
              </a:r>
            </a:p>
          </xdr:txBody>
        </xdr:sp>
        <xdr:clientData fPrintsWithSheet="0"/>
      </xdr:twoCellAnchor>
    </mc:Choice>
    <mc:Fallback/>
  </mc:AlternateContent>
  <xdr:twoCellAnchor>
    <xdr:from>
      <xdr:col>6</xdr:col>
      <xdr:colOff>11760</xdr:colOff>
      <xdr:row>38</xdr:row>
      <xdr:rowOff>183281</xdr:rowOff>
    </xdr:from>
    <xdr:to>
      <xdr:col>10</xdr:col>
      <xdr:colOff>340012</xdr:colOff>
      <xdr:row>57</xdr:row>
      <xdr:rowOff>126134</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695325</xdr:colOff>
          <xdr:row>33</xdr:row>
          <xdr:rowOff>19050</xdr:rowOff>
        </xdr:from>
        <xdr:to>
          <xdr:col>13</xdr:col>
          <xdr:colOff>504825</xdr:colOff>
          <xdr:row>34</xdr:row>
          <xdr:rowOff>123825</xdr:rowOff>
        </xdr:to>
        <xdr:sp macro="" textlink="">
          <xdr:nvSpPr>
            <xdr:cNvPr id="26631" name="Button 7" hidden="1">
              <a:extLst>
                <a:ext uri="{63B3BB69-23CF-44E3-9099-C40C66FF867C}">
                  <a14:compatExt spid="_x0000_s266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Tb Table</a:t>
              </a:r>
            </a:p>
          </xdr:txBody>
        </xdr:sp>
        <xdr:clientData fPrintsWithSheet="0"/>
      </xdr:twoCellAnchor>
    </mc:Choice>
    <mc:Fallback/>
  </mc:AlternateContent>
  <xdr:twoCellAnchor>
    <xdr:from>
      <xdr:col>13</xdr:col>
      <xdr:colOff>0</xdr:colOff>
      <xdr:row>38</xdr:row>
      <xdr:rowOff>190501</xdr:rowOff>
    </xdr:from>
    <xdr:to>
      <xdr:col>19</xdr:col>
      <xdr:colOff>276298</xdr:colOff>
      <xdr:row>57</xdr:row>
      <xdr:rowOff>133354</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19</xdr:col>
          <xdr:colOff>714375</xdr:colOff>
          <xdr:row>31</xdr:row>
          <xdr:rowOff>28575</xdr:rowOff>
        </xdr:from>
        <xdr:to>
          <xdr:col>21</xdr:col>
          <xdr:colOff>0</xdr:colOff>
          <xdr:row>33</xdr:row>
          <xdr:rowOff>142875</xdr:rowOff>
        </xdr:to>
        <xdr:sp macro="" textlink="">
          <xdr:nvSpPr>
            <xdr:cNvPr id="26632" name="Button 8" hidden="1">
              <a:extLst>
                <a:ext uri="{63B3BB69-23CF-44E3-9099-C40C66FF867C}">
                  <a14:compatExt spid="_x0000_s266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Goal Seek Table</a:t>
              </a:r>
            </a:p>
          </xdr:txBody>
        </xdr:sp>
        <xdr:clientData fPrintsWithSheet="0"/>
      </xdr:twoCellAnchor>
    </mc:Choice>
    <mc:Fallback/>
  </mc:AlternateContent>
  <xdr:twoCellAnchor>
    <xdr:from>
      <xdr:col>22</xdr:col>
      <xdr:colOff>384768</xdr:colOff>
      <xdr:row>36</xdr:row>
      <xdr:rowOff>122457</xdr:rowOff>
    </xdr:from>
    <xdr:to>
      <xdr:col>28</xdr:col>
      <xdr:colOff>310686</xdr:colOff>
      <xdr:row>55</xdr:row>
      <xdr:rowOff>65310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410169</xdr:colOff>
      <xdr:row>55</xdr:row>
      <xdr:rowOff>169027</xdr:rowOff>
    </xdr:from>
    <xdr:to>
      <xdr:col>33</xdr:col>
      <xdr:colOff>509652</xdr:colOff>
      <xdr:row>73</xdr:row>
      <xdr:rowOff>133043</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603249</xdr:colOff>
      <xdr:row>55</xdr:row>
      <xdr:rowOff>179916</xdr:rowOff>
    </xdr:from>
    <xdr:to>
      <xdr:col>25</xdr:col>
      <xdr:colOff>395816</xdr:colOff>
      <xdr:row>73</xdr:row>
      <xdr:rowOff>143932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13</xdr:row>
          <xdr:rowOff>0</xdr:rowOff>
        </xdr:from>
        <xdr:to>
          <xdr:col>3</xdr:col>
          <xdr:colOff>0</xdr:colOff>
          <xdr:row>14</xdr:row>
          <xdr:rowOff>9525</xdr:rowOff>
        </xdr:to>
        <xdr:sp macro="" textlink="">
          <xdr:nvSpPr>
            <xdr:cNvPr id="27649" name="Drop Down 1"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16</xdr:row>
          <xdr:rowOff>9525</xdr:rowOff>
        </xdr:from>
        <xdr:to>
          <xdr:col>6</xdr:col>
          <xdr:colOff>1866900</xdr:colOff>
          <xdr:row>17</xdr:row>
          <xdr:rowOff>28575</xdr:rowOff>
        </xdr:to>
        <xdr:sp macro="" textlink="">
          <xdr:nvSpPr>
            <xdr:cNvPr id="27650" name="Drop Down 2" hidden="1">
              <a:extLst>
                <a:ext uri="{63B3BB69-23CF-44E3-9099-C40C66FF867C}">
                  <a14:compatExt spid="_x0000_s27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2095500</xdr:colOff>
          <xdr:row>29</xdr:row>
          <xdr:rowOff>190500</xdr:rowOff>
        </xdr:from>
        <xdr:to>
          <xdr:col>3</xdr:col>
          <xdr:colOff>0</xdr:colOff>
          <xdr:row>30</xdr:row>
          <xdr:rowOff>180975</xdr:rowOff>
        </xdr:to>
        <xdr:sp macro="" textlink="">
          <xdr:nvSpPr>
            <xdr:cNvPr id="27651" name="Drop Down 3" hidden="1">
              <a:extLst>
                <a:ext uri="{63B3BB69-23CF-44E3-9099-C40C66FF867C}">
                  <a14:compatExt spid="_x0000_s27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1990725</xdr:colOff>
          <xdr:row>60</xdr:row>
          <xdr:rowOff>0</xdr:rowOff>
        </xdr:to>
        <xdr:sp macro="" textlink="">
          <xdr:nvSpPr>
            <xdr:cNvPr id="27652" name="Drop Down 4" hidden="1">
              <a:extLst>
                <a:ext uri="{63B3BB69-23CF-44E3-9099-C40C66FF867C}">
                  <a14:compatExt spid="_x0000_s27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76200</xdr:colOff>
          <xdr:row>20</xdr:row>
          <xdr:rowOff>0</xdr:rowOff>
        </xdr:from>
        <xdr:to>
          <xdr:col>17</xdr:col>
          <xdr:colOff>533400</xdr:colOff>
          <xdr:row>21</xdr:row>
          <xdr:rowOff>190500</xdr:rowOff>
        </xdr:to>
        <xdr:sp macro="" textlink="">
          <xdr:nvSpPr>
            <xdr:cNvPr id="27653" name="Button 5" hidden="1">
              <a:extLst>
                <a:ext uri="{63B3BB69-23CF-44E3-9099-C40C66FF867C}">
                  <a14:compatExt spid="_x0000_s276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Goal Seek Operating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457200</xdr:colOff>
          <xdr:row>33</xdr:row>
          <xdr:rowOff>9525</xdr:rowOff>
        </xdr:from>
        <xdr:to>
          <xdr:col>6</xdr:col>
          <xdr:colOff>1819275</xdr:colOff>
          <xdr:row>34</xdr:row>
          <xdr:rowOff>114300</xdr:rowOff>
        </xdr:to>
        <xdr:sp macro="" textlink="">
          <xdr:nvSpPr>
            <xdr:cNvPr id="27654" name="Button 6" hidden="1">
              <a:extLst>
                <a:ext uri="{63B3BB69-23CF-44E3-9099-C40C66FF867C}">
                  <a14:compatExt spid="_x0000_s276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ISP Table</a:t>
              </a:r>
            </a:p>
          </xdr:txBody>
        </xdr:sp>
        <xdr:clientData fPrintsWithSheet="0"/>
      </xdr:twoCellAnchor>
    </mc:Choice>
    <mc:Fallback/>
  </mc:AlternateContent>
  <xdr:twoCellAnchor>
    <xdr:from>
      <xdr:col>6</xdr:col>
      <xdr:colOff>11760</xdr:colOff>
      <xdr:row>38</xdr:row>
      <xdr:rowOff>183281</xdr:rowOff>
    </xdr:from>
    <xdr:to>
      <xdr:col>10</xdr:col>
      <xdr:colOff>340012</xdr:colOff>
      <xdr:row>57</xdr:row>
      <xdr:rowOff>126134</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695325</xdr:colOff>
          <xdr:row>33</xdr:row>
          <xdr:rowOff>19050</xdr:rowOff>
        </xdr:from>
        <xdr:to>
          <xdr:col>13</xdr:col>
          <xdr:colOff>504825</xdr:colOff>
          <xdr:row>34</xdr:row>
          <xdr:rowOff>123825</xdr:rowOff>
        </xdr:to>
        <xdr:sp macro="" textlink="">
          <xdr:nvSpPr>
            <xdr:cNvPr id="27655" name="Button 7" hidden="1">
              <a:extLst>
                <a:ext uri="{63B3BB69-23CF-44E3-9099-C40C66FF867C}">
                  <a14:compatExt spid="_x0000_s276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Tb Table</a:t>
              </a:r>
            </a:p>
          </xdr:txBody>
        </xdr:sp>
        <xdr:clientData fPrintsWithSheet="0"/>
      </xdr:twoCellAnchor>
    </mc:Choice>
    <mc:Fallback/>
  </mc:AlternateContent>
  <xdr:twoCellAnchor>
    <xdr:from>
      <xdr:col>13</xdr:col>
      <xdr:colOff>0</xdr:colOff>
      <xdr:row>38</xdr:row>
      <xdr:rowOff>190501</xdr:rowOff>
    </xdr:from>
    <xdr:to>
      <xdr:col>19</xdr:col>
      <xdr:colOff>276298</xdr:colOff>
      <xdr:row>57</xdr:row>
      <xdr:rowOff>133354</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19</xdr:col>
          <xdr:colOff>714375</xdr:colOff>
          <xdr:row>31</xdr:row>
          <xdr:rowOff>28575</xdr:rowOff>
        </xdr:from>
        <xdr:to>
          <xdr:col>21</xdr:col>
          <xdr:colOff>0</xdr:colOff>
          <xdr:row>33</xdr:row>
          <xdr:rowOff>142875</xdr:rowOff>
        </xdr:to>
        <xdr:sp macro="" textlink="">
          <xdr:nvSpPr>
            <xdr:cNvPr id="27656" name="Button 8" hidden="1">
              <a:extLst>
                <a:ext uri="{63B3BB69-23CF-44E3-9099-C40C66FF867C}">
                  <a14:compatExt spid="_x0000_s276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Goal Seek Table</a:t>
              </a:r>
            </a:p>
          </xdr:txBody>
        </xdr:sp>
        <xdr:clientData fPrintsWithSheet="0"/>
      </xdr:twoCellAnchor>
    </mc:Choice>
    <mc:Fallback/>
  </mc:AlternateContent>
  <xdr:twoCellAnchor>
    <xdr:from>
      <xdr:col>22</xdr:col>
      <xdr:colOff>384768</xdr:colOff>
      <xdr:row>36</xdr:row>
      <xdr:rowOff>122457</xdr:rowOff>
    </xdr:from>
    <xdr:to>
      <xdr:col>28</xdr:col>
      <xdr:colOff>310686</xdr:colOff>
      <xdr:row>55</xdr:row>
      <xdr:rowOff>65310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410169</xdr:colOff>
      <xdr:row>55</xdr:row>
      <xdr:rowOff>169027</xdr:rowOff>
    </xdr:from>
    <xdr:to>
      <xdr:col>33</xdr:col>
      <xdr:colOff>509652</xdr:colOff>
      <xdr:row>73</xdr:row>
      <xdr:rowOff>133043</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603249</xdr:colOff>
      <xdr:row>55</xdr:row>
      <xdr:rowOff>179916</xdr:rowOff>
    </xdr:from>
    <xdr:to>
      <xdr:col>25</xdr:col>
      <xdr:colOff>395816</xdr:colOff>
      <xdr:row>73</xdr:row>
      <xdr:rowOff>143932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466725</xdr:colOff>
      <xdr:row>1</xdr:row>
      <xdr:rowOff>152400</xdr:rowOff>
    </xdr:from>
    <xdr:to>
      <xdr:col>16</xdr:col>
      <xdr:colOff>532630</xdr:colOff>
      <xdr:row>38</xdr:row>
      <xdr:rowOff>132532</xdr:rowOff>
    </xdr:to>
    <xdr:pic>
      <xdr:nvPicPr>
        <xdr:cNvPr id="3" name="Picture 2"/>
        <xdr:cNvPicPr>
          <a:picLocks noChangeAspect="1"/>
        </xdr:cNvPicPr>
      </xdr:nvPicPr>
      <xdr:blipFill>
        <a:blip xmlns:r="http://schemas.openxmlformats.org/officeDocument/2006/relationships" r:embed="rId1"/>
        <a:stretch>
          <a:fillRect/>
        </a:stretch>
      </xdr:blipFill>
      <xdr:spPr>
        <a:xfrm>
          <a:off x="6696075" y="314325"/>
          <a:ext cx="6161905" cy="6542857"/>
        </a:xfrm>
        <a:prstGeom prst="rect">
          <a:avLst/>
        </a:prstGeom>
      </xdr:spPr>
    </xdr:pic>
    <xdr:clientData/>
  </xdr:twoCellAnchor>
  <xdr:twoCellAnchor editAs="oneCell">
    <xdr:from>
      <xdr:col>17</xdr:col>
      <xdr:colOff>0</xdr:colOff>
      <xdr:row>3</xdr:row>
      <xdr:rowOff>0</xdr:rowOff>
    </xdr:from>
    <xdr:to>
      <xdr:col>36</xdr:col>
      <xdr:colOff>198552</xdr:colOff>
      <xdr:row>38</xdr:row>
      <xdr:rowOff>142090</xdr:rowOff>
    </xdr:to>
    <xdr:pic>
      <xdr:nvPicPr>
        <xdr:cNvPr id="4" name="Picture 3"/>
        <xdr:cNvPicPr>
          <a:picLocks noChangeAspect="1"/>
        </xdr:cNvPicPr>
      </xdr:nvPicPr>
      <xdr:blipFill>
        <a:blip xmlns:r="http://schemas.openxmlformats.org/officeDocument/2006/relationships" r:embed="rId2"/>
        <a:stretch>
          <a:fillRect/>
        </a:stretch>
      </xdr:blipFill>
      <xdr:spPr>
        <a:xfrm>
          <a:off x="12934950" y="590550"/>
          <a:ext cx="11780952" cy="627619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29.123.4.160\chucks\Win2000\Aerospace%20(Sabattical)\Desktop\Design%20tool%20Local\sscem.0.3.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29.123.4.160\chucks\class\ece5230\CEM-archives\Mod_CEM_0.5.4\Databases%20and%20Tool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29.123.4.160\chucks\class\ece5230\CEM-archives\Mod_CEM_0.5.4\Thermal.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PL"/>
      <sheetName val="ADC design"/>
      <sheetName val="ADACS"/>
      <sheetName val="Sheet2"/>
      <sheetName val="Astro"/>
      <sheetName val="Orbit"/>
      <sheetName val="Power "/>
      <sheetName val="Power II"/>
      <sheetName val="CDH"/>
      <sheetName val="Link Budget"/>
      <sheetName val="XBand_Comm"/>
      <sheetName val="Thermal"/>
      <sheetName val="Old Propulsion"/>
      <sheetName val="Propulsion"/>
      <sheetName val="Propulsion database"/>
      <sheetName val="Structure"/>
      <sheetName val="Ground"/>
      <sheetName val="Access"/>
      <sheetName val="Database"/>
      <sheetName val="Future DB"/>
      <sheetName val="Config"/>
      <sheetName val="Lighting"/>
      <sheetName val="AeroForces"/>
      <sheetName val="names"/>
      <sheetName val="sscem.0.3.2"/>
      <sheetName val="Propulsion- database"/>
      <sheetName val="Propulsion-1 database"/>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troTool"/>
      <sheetName val="StructTool"/>
      <sheetName val="Tables"/>
      <sheetName val="SensorDatabase"/>
      <sheetName val="ActuatorDatabase"/>
    </sheetNames>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ermalSMAD"/>
      <sheetName val="ThermalCDC"/>
      <sheetName val="PhasedArrayRadar"/>
      <sheetName val="CryoSats"/>
    </sheet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E18"/>
  <sheetViews>
    <sheetView workbookViewId="0">
      <selection activeCell="E16" sqref="E16"/>
    </sheetView>
  </sheetViews>
  <sheetFormatPr defaultColWidth="8.85546875" defaultRowHeight="12.75" x14ac:dyDescent="0.2"/>
  <cols>
    <col min="2" max="2" width="7.85546875" customWidth="1"/>
    <col min="3" max="3" width="10.140625" customWidth="1"/>
    <col min="4" max="4" width="16.42578125" customWidth="1"/>
    <col min="5" max="5" width="49.42578125" customWidth="1"/>
  </cols>
  <sheetData>
    <row r="1" spans="2:5" ht="25.5" x14ac:dyDescent="0.35">
      <c r="B1" s="4" t="s">
        <v>9</v>
      </c>
    </row>
    <row r="4" spans="2:5" x14ac:dyDescent="0.2">
      <c r="B4" s="5" t="s">
        <v>4</v>
      </c>
      <c r="C4" s="6" t="s">
        <v>5</v>
      </c>
      <c r="D4" s="6" t="s">
        <v>6</v>
      </c>
      <c r="E4" s="7" t="s">
        <v>7</v>
      </c>
    </row>
    <row r="5" spans="2:5" x14ac:dyDescent="0.2">
      <c r="B5" s="8">
        <v>0.1</v>
      </c>
      <c r="C5" s="9">
        <v>39083</v>
      </c>
      <c r="D5" s="161" t="s">
        <v>472</v>
      </c>
      <c r="E5" s="162" t="s">
        <v>473</v>
      </c>
    </row>
    <row r="6" spans="2:5" ht="25.5" x14ac:dyDescent="0.2">
      <c r="B6" s="8">
        <v>0.2</v>
      </c>
      <c r="C6" s="11">
        <v>39083</v>
      </c>
      <c r="D6" s="161" t="s">
        <v>474</v>
      </c>
      <c r="E6" s="181" t="s">
        <v>550</v>
      </c>
    </row>
    <row r="7" spans="2:5" ht="51" x14ac:dyDescent="0.2">
      <c r="B7" s="13">
        <v>1</v>
      </c>
      <c r="C7" s="11">
        <v>39721</v>
      </c>
      <c r="D7" s="161" t="s">
        <v>472</v>
      </c>
      <c r="E7" s="163" t="s">
        <v>475</v>
      </c>
    </row>
    <row r="8" spans="2:5" ht="25.5" x14ac:dyDescent="0.2">
      <c r="B8" s="13">
        <v>1.1000000000000001</v>
      </c>
      <c r="C8" s="11">
        <v>40101</v>
      </c>
      <c r="D8" s="161" t="s">
        <v>472</v>
      </c>
      <c r="E8" s="181" t="s">
        <v>551</v>
      </c>
    </row>
    <row r="9" spans="2:5" ht="25.5" x14ac:dyDescent="0.2">
      <c r="B9" s="13">
        <v>1.2</v>
      </c>
      <c r="C9" s="11">
        <v>40471</v>
      </c>
      <c r="D9" s="10" t="s">
        <v>472</v>
      </c>
      <c r="E9" s="12" t="s">
        <v>481</v>
      </c>
    </row>
    <row r="10" spans="2:5" ht="63.75" x14ac:dyDescent="0.2">
      <c r="B10" s="13">
        <v>2</v>
      </c>
      <c r="C10" s="11">
        <v>41233</v>
      </c>
      <c r="D10" s="10" t="s">
        <v>472</v>
      </c>
      <c r="E10" s="12" t="s">
        <v>552</v>
      </c>
    </row>
    <row r="11" spans="2:5" ht="63.75" x14ac:dyDescent="0.2">
      <c r="B11" s="13">
        <v>3</v>
      </c>
      <c r="C11" s="11">
        <v>41481</v>
      </c>
      <c r="D11" s="10" t="s">
        <v>472</v>
      </c>
      <c r="E11" s="12" t="s">
        <v>553</v>
      </c>
    </row>
    <row r="12" spans="2:5" ht="25.5" x14ac:dyDescent="0.2">
      <c r="B12" s="13">
        <v>4</v>
      </c>
      <c r="C12" s="11">
        <v>41661</v>
      </c>
      <c r="D12" s="10" t="s">
        <v>472</v>
      </c>
      <c r="E12" s="12" t="s">
        <v>554</v>
      </c>
    </row>
    <row r="13" spans="2:5" x14ac:dyDescent="0.2">
      <c r="B13" s="13"/>
      <c r="C13" s="11"/>
      <c r="D13" s="10"/>
      <c r="E13" s="7" t="s">
        <v>8</v>
      </c>
    </row>
    <row r="14" spans="2:5" ht="25.5" x14ac:dyDescent="0.2">
      <c r="B14" s="13"/>
      <c r="C14" s="11"/>
      <c r="D14" s="10"/>
      <c r="E14" s="181" t="s">
        <v>555</v>
      </c>
    </row>
    <row r="15" spans="2:5" x14ac:dyDescent="0.2">
      <c r="B15" s="13"/>
      <c r="C15" s="11"/>
      <c r="D15" s="10"/>
      <c r="E15" s="181" t="s">
        <v>556</v>
      </c>
    </row>
    <row r="16" spans="2:5" x14ac:dyDescent="0.2">
      <c r="B16" s="13"/>
      <c r="C16" s="11"/>
      <c r="D16" s="10"/>
      <c r="E16" s="181" t="s">
        <v>557</v>
      </c>
    </row>
    <row r="17" spans="2:5" x14ac:dyDescent="0.2">
      <c r="B17" s="13"/>
      <c r="C17" s="11"/>
      <c r="D17" s="10"/>
      <c r="E17" s="163"/>
    </row>
    <row r="18" spans="2:5" ht="25.5" x14ac:dyDescent="0.2">
      <c r="B18" s="13"/>
      <c r="C18" s="11"/>
      <c r="D18" s="10"/>
      <c r="E18" s="163" t="s">
        <v>521</v>
      </c>
    </row>
  </sheetData>
  <phoneticPr fontId="7"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1:AD200"/>
  <sheetViews>
    <sheetView zoomScaleNormal="100" workbookViewId="0">
      <selection activeCell="O21" sqref="O21"/>
    </sheetView>
  </sheetViews>
  <sheetFormatPr defaultColWidth="8.85546875" defaultRowHeight="12.75" x14ac:dyDescent="0.2"/>
  <cols>
    <col min="1" max="1" width="4" customWidth="1"/>
    <col min="2" max="2" width="33.5703125" customWidth="1"/>
    <col min="3" max="3" width="17" customWidth="1"/>
    <col min="4" max="4" width="17.5703125" customWidth="1"/>
    <col min="5" max="6" width="10.42578125" customWidth="1"/>
    <col min="7" max="7" width="33.42578125" customWidth="1"/>
    <col min="8" max="8" width="10.42578125" customWidth="1"/>
    <col min="9" max="9" width="11.5703125" customWidth="1"/>
    <col min="10" max="10" width="10.85546875" customWidth="1"/>
    <col min="11" max="12" width="8.42578125" customWidth="1"/>
    <col min="13" max="13" width="21.5703125" customWidth="1"/>
    <col min="14" max="14" width="11.5703125" customWidth="1"/>
    <col min="15" max="15" width="10.85546875" customWidth="1"/>
    <col min="16" max="16" width="9.85546875" customWidth="1"/>
    <col min="19" max="19" width="17" customWidth="1"/>
    <col min="20" max="21" width="15" customWidth="1"/>
    <col min="22" max="26" width="12.85546875" customWidth="1"/>
    <col min="27" max="27" width="11.42578125" customWidth="1"/>
  </cols>
  <sheetData>
    <row r="1" spans="2:16" ht="26.25" thickBot="1" x14ac:dyDescent="0.4">
      <c r="B1" s="4" t="s">
        <v>541</v>
      </c>
      <c r="C1" s="4"/>
      <c r="D1" s="4"/>
      <c r="G1" s="21" t="s">
        <v>10</v>
      </c>
      <c r="H1" s="87"/>
    </row>
    <row r="2" spans="2:16" ht="15.75" customHeight="1" thickBot="1" x14ac:dyDescent="0.4">
      <c r="D2" s="4"/>
      <c r="G2" s="164" t="s">
        <v>11</v>
      </c>
    </row>
    <row r="3" spans="2:16" ht="15.75" customHeight="1" x14ac:dyDescent="0.2">
      <c r="B3" s="14" t="s">
        <v>0</v>
      </c>
      <c r="C3" s="15" t="s">
        <v>1</v>
      </c>
      <c r="D3" s="15" t="s">
        <v>3</v>
      </c>
      <c r="E3" s="16" t="s">
        <v>15</v>
      </c>
      <c r="G3" s="165" t="s">
        <v>344</v>
      </c>
      <c r="J3" s="36"/>
    </row>
    <row r="4" spans="2:16" ht="15.75" customHeight="1" x14ac:dyDescent="0.2">
      <c r="B4" s="189" t="s">
        <v>289</v>
      </c>
      <c r="C4" s="195" t="s">
        <v>479</v>
      </c>
      <c r="D4" s="190">
        <v>9.81</v>
      </c>
      <c r="E4" s="196" t="s">
        <v>439</v>
      </c>
      <c r="G4" s="166" t="s">
        <v>476</v>
      </c>
      <c r="J4" s="36"/>
    </row>
    <row r="5" spans="2:16" ht="15.75" customHeight="1" x14ac:dyDescent="0.2">
      <c r="B5" s="189" t="s">
        <v>485</v>
      </c>
      <c r="C5" s="197" t="s">
        <v>286</v>
      </c>
      <c r="D5" s="190">
        <v>398600.5</v>
      </c>
      <c r="E5" s="25" t="s">
        <v>510</v>
      </c>
      <c r="G5" s="167" t="s">
        <v>477</v>
      </c>
      <c r="J5" s="36"/>
    </row>
    <row r="6" spans="2:16" ht="15.75" customHeight="1" thickBot="1" x14ac:dyDescent="0.35">
      <c r="B6" s="191" t="s">
        <v>504</v>
      </c>
      <c r="C6" s="186" t="s">
        <v>505</v>
      </c>
      <c r="D6" s="192">
        <v>6398</v>
      </c>
      <c r="E6" s="193" t="s">
        <v>484</v>
      </c>
      <c r="G6" s="168" t="s">
        <v>371</v>
      </c>
      <c r="J6" s="36"/>
    </row>
    <row r="7" spans="2:16" ht="15.75" customHeight="1" x14ac:dyDescent="0.2">
      <c r="J7" s="36"/>
    </row>
    <row r="8" spans="2:16" ht="15.75" customHeight="1" x14ac:dyDescent="0.2">
      <c r="C8" s="3"/>
      <c r="D8" s="20"/>
      <c r="E8" s="20"/>
      <c r="F8" s="20"/>
      <c r="G8" s="20"/>
      <c r="H8" s="20"/>
      <c r="I8" s="20"/>
      <c r="J8" s="36"/>
    </row>
    <row r="9" spans="2:16" ht="21" thickBot="1" x14ac:dyDescent="0.35">
      <c r="B9" s="21" t="s">
        <v>345</v>
      </c>
      <c r="C9" s="3"/>
      <c r="G9" s="21" t="s">
        <v>13</v>
      </c>
      <c r="M9" s="21" t="s">
        <v>483</v>
      </c>
    </row>
    <row r="10" spans="2:16" ht="15.75" customHeight="1" x14ac:dyDescent="0.2">
      <c r="B10" s="14" t="s">
        <v>14</v>
      </c>
      <c r="C10" s="15" t="s">
        <v>1</v>
      </c>
      <c r="D10" s="15" t="s">
        <v>3</v>
      </c>
      <c r="E10" s="16" t="s">
        <v>15</v>
      </c>
      <c r="G10" s="14" t="s">
        <v>14</v>
      </c>
      <c r="H10" s="15" t="s">
        <v>1</v>
      </c>
      <c r="I10" s="15" t="s">
        <v>3</v>
      </c>
      <c r="J10" s="16" t="s">
        <v>15</v>
      </c>
      <c r="M10" s="14" t="s">
        <v>14</v>
      </c>
      <c r="N10" s="15" t="s">
        <v>1</v>
      </c>
      <c r="O10" s="15" t="s">
        <v>3</v>
      </c>
      <c r="P10" s="16" t="s">
        <v>15</v>
      </c>
    </row>
    <row r="11" spans="2:16" ht="15.75" customHeight="1" x14ac:dyDescent="0.3">
      <c r="B11" s="17" t="s">
        <v>12</v>
      </c>
      <c r="C11" s="18" t="s">
        <v>277</v>
      </c>
      <c r="D11" s="22">
        <v>5000</v>
      </c>
      <c r="E11" s="19" t="s">
        <v>281</v>
      </c>
      <c r="G11" s="17" t="s">
        <v>12</v>
      </c>
      <c r="H11" s="32" t="s">
        <v>277</v>
      </c>
      <c r="I11" s="199">
        <v>5000</v>
      </c>
      <c r="J11" s="19" t="s">
        <v>281</v>
      </c>
      <c r="M11" s="17" t="s">
        <v>511</v>
      </c>
      <c r="N11" s="198" t="s">
        <v>506</v>
      </c>
      <c r="O11" s="22">
        <v>300</v>
      </c>
      <c r="P11" s="19" t="s">
        <v>484</v>
      </c>
    </row>
    <row r="12" spans="2:16" ht="15.75" customHeight="1" x14ac:dyDescent="0.3">
      <c r="B12" s="101" t="s">
        <v>402</v>
      </c>
      <c r="C12" s="32" t="s">
        <v>401</v>
      </c>
      <c r="D12" s="22">
        <v>12</v>
      </c>
      <c r="E12" s="19" t="s">
        <v>16</v>
      </c>
      <c r="G12" s="101" t="s">
        <v>402</v>
      </c>
      <c r="H12" s="32" t="s">
        <v>401</v>
      </c>
      <c r="I12" s="22">
        <v>4.5</v>
      </c>
      <c r="J12" s="19" t="s">
        <v>16</v>
      </c>
      <c r="M12" s="17" t="s">
        <v>512</v>
      </c>
      <c r="N12" s="18" t="s">
        <v>513</v>
      </c>
      <c r="O12" s="213">
        <v>800</v>
      </c>
      <c r="P12" s="19" t="s">
        <v>484</v>
      </c>
    </row>
    <row r="13" spans="2:16" ht="15.75" customHeight="1" x14ac:dyDescent="0.2">
      <c r="B13" s="101" t="s">
        <v>403</v>
      </c>
      <c r="C13" s="120" t="s">
        <v>284</v>
      </c>
      <c r="D13" s="122">
        <v>7.0000000000000007E-2</v>
      </c>
      <c r="E13" s="102" t="s">
        <v>400</v>
      </c>
      <c r="G13" s="97" t="s">
        <v>471</v>
      </c>
      <c r="H13" s="27" t="s">
        <v>278</v>
      </c>
      <c r="I13" s="22">
        <v>300</v>
      </c>
      <c r="J13" s="179" t="s">
        <v>486</v>
      </c>
      <c r="M13" s="176" t="s">
        <v>487</v>
      </c>
      <c r="N13" s="177"/>
      <c r="O13" s="180">
        <v>1E-3</v>
      </c>
      <c r="P13" s="178" t="s">
        <v>281</v>
      </c>
    </row>
    <row r="14" spans="2:16" ht="15.75" customHeight="1" x14ac:dyDescent="0.3">
      <c r="B14" s="121" t="s">
        <v>425</v>
      </c>
      <c r="C14" s="37" t="s">
        <v>375</v>
      </c>
      <c r="D14" s="88">
        <v>2</v>
      </c>
      <c r="E14" s="25"/>
      <c r="G14" s="97" t="s">
        <v>471</v>
      </c>
      <c r="H14" s="27"/>
      <c r="I14" s="217">
        <v>25920000</v>
      </c>
      <c r="J14" s="25" t="s">
        <v>280</v>
      </c>
      <c r="M14" s="23" t="s">
        <v>514</v>
      </c>
      <c r="N14" s="24" t="s">
        <v>507</v>
      </c>
      <c r="O14" s="28">
        <v>6698</v>
      </c>
      <c r="P14" s="25" t="s">
        <v>484</v>
      </c>
    </row>
    <row r="15" spans="2:16" ht="15.75" customHeight="1" x14ac:dyDescent="0.3">
      <c r="B15" s="95" t="s">
        <v>426</v>
      </c>
      <c r="C15" s="24"/>
      <c r="D15" s="96" t="s">
        <v>334</v>
      </c>
      <c r="E15" s="25"/>
      <c r="G15" s="182" t="s">
        <v>489</v>
      </c>
      <c r="H15" s="37" t="s">
        <v>276</v>
      </c>
      <c r="I15" s="203">
        <v>2.5000000000000001E-2</v>
      </c>
      <c r="J15" s="25" t="s">
        <v>480</v>
      </c>
      <c r="M15" s="23" t="s">
        <v>515</v>
      </c>
      <c r="N15" s="24" t="s">
        <v>516</v>
      </c>
      <c r="O15" s="28">
        <v>7198</v>
      </c>
      <c r="P15" s="25" t="s">
        <v>484</v>
      </c>
    </row>
    <row r="16" spans="2:16" ht="15.75" customHeight="1" x14ac:dyDescent="0.3">
      <c r="B16" s="95" t="s">
        <v>444</v>
      </c>
      <c r="C16" s="37" t="s">
        <v>377</v>
      </c>
      <c r="D16" s="94">
        <v>1500</v>
      </c>
      <c r="E16" s="169" t="s">
        <v>279</v>
      </c>
      <c r="G16" s="23" t="s">
        <v>340</v>
      </c>
      <c r="H16" s="37"/>
      <c r="I16" s="204">
        <v>1500</v>
      </c>
      <c r="J16" s="25" t="s">
        <v>279</v>
      </c>
      <c r="M16" s="23" t="s">
        <v>518</v>
      </c>
      <c r="N16" s="24" t="s">
        <v>509</v>
      </c>
      <c r="O16" s="30">
        <v>7.7142968721530911</v>
      </c>
      <c r="P16" s="25" t="s">
        <v>508</v>
      </c>
    </row>
    <row r="17" spans="2:16" ht="15.75" customHeight="1" x14ac:dyDescent="0.3">
      <c r="B17" s="95" t="s">
        <v>413</v>
      </c>
      <c r="C17" s="37" t="s">
        <v>414</v>
      </c>
      <c r="D17" s="131">
        <v>0.02</v>
      </c>
      <c r="E17" s="170" t="s">
        <v>415</v>
      </c>
      <c r="G17" s="23"/>
      <c r="H17" s="37"/>
      <c r="I17" s="188">
        <v>10</v>
      </c>
      <c r="J17" s="25"/>
      <c r="M17" s="23" t="s">
        <v>519</v>
      </c>
      <c r="N17" s="24" t="s">
        <v>517</v>
      </c>
      <c r="O17" s="30">
        <v>7.4415430479268458</v>
      </c>
      <c r="P17" s="25" t="s">
        <v>508</v>
      </c>
    </row>
    <row r="18" spans="2:16" ht="15.75" customHeight="1" x14ac:dyDescent="0.3">
      <c r="B18" s="132" t="s">
        <v>427</v>
      </c>
      <c r="C18" s="37" t="s">
        <v>378</v>
      </c>
      <c r="D18" s="94">
        <v>1600</v>
      </c>
      <c r="E18" s="171" t="s">
        <v>376</v>
      </c>
      <c r="G18" s="23" t="s">
        <v>526</v>
      </c>
      <c r="H18" s="37" t="s">
        <v>285</v>
      </c>
      <c r="I18" s="214">
        <v>1390</v>
      </c>
      <c r="J18" s="25" t="s">
        <v>279</v>
      </c>
      <c r="M18" s="17" t="s">
        <v>520</v>
      </c>
      <c r="N18" s="32" t="s">
        <v>277</v>
      </c>
      <c r="O18" s="30">
        <v>0.27275382422624528</v>
      </c>
      <c r="P18" s="19" t="s">
        <v>508</v>
      </c>
    </row>
    <row r="19" spans="2:16" ht="15.75" customHeight="1" x14ac:dyDescent="0.3">
      <c r="B19" s="132" t="s">
        <v>443</v>
      </c>
      <c r="C19" s="37" t="s">
        <v>378</v>
      </c>
      <c r="D19" s="94">
        <v>18</v>
      </c>
      <c r="E19" s="171" t="s">
        <v>441</v>
      </c>
      <c r="G19" s="23" t="s">
        <v>525</v>
      </c>
      <c r="H19" s="37"/>
      <c r="I19" s="214">
        <v>1.2200000000000001E-2</v>
      </c>
      <c r="J19" s="25" t="s">
        <v>415</v>
      </c>
      <c r="M19" s="97" t="s">
        <v>471</v>
      </c>
      <c r="N19" s="27"/>
      <c r="O19" s="194">
        <v>272753.82422624441</v>
      </c>
      <c r="P19" s="25" t="s">
        <v>280</v>
      </c>
    </row>
    <row r="20" spans="2:16" ht="15.75" customHeight="1" x14ac:dyDescent="0.3">
      <c r="B20" s="97" t="s">
        <v>428</v>
      </c>
      <c r="C20" s="37" t="s">
        <v>404</v>
      </c>
      <c r="D20" s="34">
        <v>14715</v>
      </c>
      <c r="E20" s="171" t="s">
        <v>281</v>
      </c>
      <c r="G20" s="23" t="s">
        <v>524</v>
      </c>
      <c r="H20" s="37"/>
      <c r="I20" s="214">
        <v>0.52</v>
      </c>
      <c r="J20" s="25" t="s">
        <v>17</v>
      </c>
      <c r="M20" s="97" t="s">
        <v>471</v>
      </c>
      <c r="N20" s="27"/>
      <c r="O20" s="194">
        <v>3.1568729655815324</v>
      </c>
      <c r="P20" s="179" t="s">
        <v>486</v>
      </c>
    </row>
    <row r="21" spans="2:16" ht="15.75" customHeight="1" thickBot="1" x14ac:dyDescent="0.35">
      <c r="B21" s="26" t="s">
        <v>288</v>
      </c>
      <c r="C21" s="31" t="s">
        <v>409</v>
      </c>
      <c r="D21" s="242">
        <v>5.0083626671922685</v>
      </c>
      <c r="E21" s="172" t="s">
        <v>16</v>
      </c>
      <c r="G21" s="23" t="s">
        <v>522</v>
      </c>
      <c r="H21" s="37"/>
      <c r="I21" s="215">
        <v>2.4400000000000004</v>
      </c>
      <c r="J21" s="25" t="s">
        <v>16</v>
      </c>
      <c r="M21" s="185" t="s">
        <v>503</v>
      </c>
      <c r="N21" s="186"/>
      <c r="O21" s="187">
        <v>-25647246.175773755</v>
      </c>
      <c r="P21" s="200" t="s">
        <v>280</v>
      </c>
    </row>
    <row r="22" spans="2:16" ht="15.75" customHeight="1" x14ac:dyDescent="0.3">
      <c r="B22" s="97" t="s">
        <v>422</v>
      </c>
      <c r="C22" s="31" t="s">
        <v>423</v>
      </c>
      <c r="D22" s="243">
        <v>3.1302266669951677E-3</v>
      </c>
      <c r="E22" s="171" t="s">
        <v>380</v>
      </c>
      <c r="G22" s="23" t="s">
        <v>523</v>
      </c>
      <c r="H22" s="37"/>
      <c r="I22" s="215">
        <v>3.66</v>
      </c>
      <c r="J22" s="25" t="s">
        <v>16</v>
      </c>
    </row>
    <row r="23" spans="2:16" ht="15.75" customHeight="1" x14ac:dyDescent="0.3">
      <c r="B23" s="97" t="s">
        <v>405</v>
      </c>
      <c r="C23" s="31" t="s">
        <v>410</v>
      </c>
      <c r="D23" s="243">
        <v>0.37697353408974071</v>
      </c>
      <c r="E23" s="172" t="s">
        <v>16</v>
      </c>
      <c r="G23" s="23" t="s">
        <v>283</v>
      </c>
      <c r="H23" s="216" t="s">
        <v>535</v>
      </c>
      <c r="I23" s="175">
        <v>45536.798306424665</v>
      </c>
      <c r="J23" s="25" t="s">
        <v>281</v>
      </c>
    </row>
    <row r="24" spans="2:16" ht="15.75" customHeight="1" x14ac:dyDescent="0.3">
      <c r="B24" s="97" t="s">
        <v>406</v>
      </c>
      <c r="C24" s="31" t="s">
        <v>290</v>
      </c>
      <c r="D24" s="126">
        <v>5.3853362012820094</v>
      </c>
      <c r="E24" s="172" t="s">
        <v>16</v>
      </c>
      <c r="G24" s="23" t="s">
        <v>343</v>
      </c>
      <c r="H24" s="216" t="s">
        <v>536</v>
      </c>
      <c r="I24" s="28">
        <v>14715</v>
      </c>
      <c r="J24" s="25" t="s">
        <v>281</v>
      </c>
    </row>
    <row r="25" spans="2:16" ht="15.75" customHeight="1" x14ac:dyDescent="0.3">
      <c r="B25" s="97" t="s">
        <v>408</v>
      </c>
      <c r="C25" s="31" t="s">
        <v>411</v>
      </c>
      <c r="D25" s="126">
        <v>12.376973534089741</v>
      </c>
      <c r="E25" s="171" t="s">
        <v>16</v>
      </c>
      <c r="G25" s="23" t="s">
        <v>288</v>
      </c>
      <c r="H25" s="24" t="s">
        <v>409</v>
      </c>
      <c r="I25" s="30">
        <v>1.901270337181423</v>
      </c>
      <c r="J25" s="25" t="s">
        <v>16</v>
      </c>
    </row>
    <row r="26" spans="2:16" ht="15.75" customHeight="1" thickBot="1" x14ac:dyDescent="0.35">
      <c r="B26" s="123" t="s">
        <v>407</v>
      </c>
      <c r="C26" s="124" t="s">
        <v>412</v>
      </c>
      <c r="D26" s="127">
        <v>17.385336201282009</v>
      </c>
      <c r="E26" s="173" t="s">
        <v>16</v>
      </c>
      <c r="G26" s="23" t="s">
        <v>341</v>
      </c>
      <c r="H26" s="24" t="s">
        <v>537</v>
      </c>
      <c r="I26" s="30">
        <v>0.19853607019968009</v>
      </c>
      <c r="J26" s="25" t="s">
        <v>16</v>
      </c>
    </row>
    <row r="27" spans="2:16" ht="15.75" customHeight="1" x14ac:dyDescent="0.3">
      <c r="G27" s="23" t="s">
        <v>490</v>
      </c>
      <c r="H27" s="24" t="s">
        <v>412</v>
      </c>
      <c r="I27" s="30">
        <v>6.5998064073811022</v>
      </c>
      <c r="J27" s="25" t="s">
        <v>16</v>
      </c>
    </row>
    <row r="28" spans="2:16" ht="21" thickBot="1" x14ac:dyDescent="0.35">
      <c r="B28" s="21" t="s">
        <v>450</v>
      </c>
      <c r="C28" s="3"/>
      <c r="G28" s="23" t="s">
        <v>558</v>
      </c>
      <c r="H28" s="24"/>
      <c r="I28" s="205">
        <v>7.3351479057925271E-8</v>
      </c>
      <c r="J28" s="25" t="s">
        <v>559</v>
      </c>
    </row>
    <row r="29" spans="2:16" ht="15.75" customHeight="1" x14ac:dyDescent="0.2">
      <c r="B29" s="14" t="s">
        <v>14</v>
      </c>
      <c r="C29" s="15" t="s">
        <v>1</v>
      </c>
      <c r="D29" s="15" t="s">
        <v>3</v>
      </c>
      <c r="E29" s="16" t="s">
        <v>15</v>
      </c>
      <c r="G29" s="23" t="s">
        <v>527</v>
      </c>
      <c r="H29" s="24" t="s">
        <v>414</v>
      </c>
      <c r="I29" s="205">
        <v>1.0793670143373704E-3</v>
      </c>
      <c r="J29" s="25" t="s">
        <v>415</v>
      </c>
    </row>
    <row r="30" spans="2:16" ht="15.75" customHeight="1" x14ac:dyDescent="0.3">
      <c r="B30" s="138" t="s">
        <v>440</v>
      </c>
      <c r="C30" s="139" t="s">
        <v>423</v>
      </c>
      <c r="D30" s="245">
        <v>3.1302266669951677E-3</v>
      </c>
      <c r="E30" s="140" t="s">
        <v>380</v>
      </c>
      <c r="G30" s="2" t="s">
        <v>488</v>
      </c>
      <c r="H30" s="27" t="s">
        <v>284</v>
      </c>
      <c r="I30" s="184">
        <v>1.6354525386232937E-4</v>
      </c>
      <c r="J30" s="1" t="s">
        <v>439</v>
      </c>
    </row>
    <row r="31" spans="2:16" ht="15.75" customHeight="1" thickBot="1" x14ac:dyDescent="0.25">
      <c r="B31" s="101" t="s">
        <v>456</v>
      </c>
      <c r="C31" s="37" t="s">
        <v>375</v>
      </c>
      <c r="D31" s="88">
        <v>2</v>
      </c>
      <c r="E31" s="102"/>
      <c r="G31" s="160" t="s">
        <v>275</v>
      </c>
      <c r="H31" s="124" t="s">
        <v>17</v>
      </c>
      <c r="I31" s="127">
        <v>7.9414428079872028</v>
      </c>
      <c r="J31" s="125" t="s">
        <v>282</v>
      </c>
    </row>
    <row r="32" spans="2:16" ht="15.75" customHeight="1" x14ac:dyDescent="0.3">
      <c r="B32" s="141" t="s">
        <v>373</v>
      </c>
      <c r="C32" s="18" t="s">
        <v>379</v>
      </c>
      <c r="D32" s="174">
        <v>1633.1143779019844</v>
      </c>
      <c r="E32" s="103" t="s">
        <v>376</v>
      </c>
    </row>
    <row r="33" spans="2:29" ht="15.75" customHeight="1" thickBot="1" x14ac:dyDescent="0.25">
      <c r="B33" s="141" t="s">
        <v>389</v>
      </c>
      <c r="C33" s="120" t="s">
        <v>279</v>
      </c>
      <c r="D33" s="96">
        <v>4136.88</v>
      </c>
      <c r="E33" s="128" t="s">
        <v>441</v>
      </c>
      <c r="H33" s="207" t="s">
        <v>528</v>
      </c>
      <c r="J33" s="206"/>
      <c r="K33" s="206"/>
      <c r="L33" s="206"/>
      <c r="O33" s="207" t="s">
        <v>539</v>
      </c>
      <c r="Q33" s="206"/>
      <c r="R33" s="206"/>
      <c r="S33" s="206"/>
      <c r="V33" s="207" t="s">
        <v>543</v>
      </c>
      <c r="X33" s="206"/>
      <c r="Y33" s="206"/>
      <c r="Z33" s="206"/>
    </row>
    <row r="34" spans="2:29" ht="15.75" customHeight="1" thickBot="1" x14ac:dyDescent="0.25">
      <c r="B34" s="101" t="s">
        <v>457</v>
      </c>
      <c r="C34" s="18"/>
      <c r="D34" s="134">
        <v>1</v>
      </c>
      <c r="E34" s="102"/>
      <c r="G34" s="206"/>
      <c r="H34" s="208" t="s">
        <v>285</v>
      </c>
      <c r="I34" s="209" t="s">
        <v>287</v>
      </c>
      <c r="J34" s="209" t="s">
        <v>342</v>
      </c>
      <c r="K34" s="209" t="s">
        <v>538</v>
      </c>
      <c r="L34" s="209" t="s">
        <v>529</v>
      </c>
      <c r="O34" s="208" t="s">
        <v>540</v>
      </c>
      <c r="P34" s="209" t="s">
        <v>287</v>
      </c>
      <c r="Q34" s="209" t="s">
        <v>342</v>
      </c>
      <c r="R34" s="209" t="s">
        <v>538</v>
      </c>
      <c r="S34" s="209" t="s">
        <v>529</v>
      </c>
      <c r="V34" s="208" t="s">
        <v>540</v>
      </c>
      <c r="W34" s="209" t="s">
        <v>546</v>
      </c>
      <c r="X34" s="209" t="s">
        <v>545</v>
      </c>
      <c r="Y34" s="209" t="s">
        <v>547</v>
      </c>
      <c r="Z34" s="209" t="s">
        <v>529</v>
      </c>
      <c r="AA34" s="209" t="s">
        <v>548</v>
      </c>
    </row>
    <row r="35" spans="2:29" ht="15.75" customHeight="1" x14ac:dyDescent="0.2">
      <c r="B35" s="101" t="s">
        <v>458</v>
      </c>
      <c r="C35" s="18"/>
      <c r="D35" s="134">
        <v>1.2</v>
      </c>
      <c r="E35" s="102"/>
      <c r="G35" s="206"/>
      <c r="H35" s="208" t="s">
        <v>530</v>
      </c>
      <c r="I35" s="209" t="s">
        <v>531</v>
      </c>
      <c r="J35" s="209" t="s">
        <v>532</v>
      </c>
      <c r="K35" s="209" t="s">
        <v>533</v>
      </c>
      <c r="L35" s="209" t="s">
        <v>534</v>
      </c>
      <c r="O35" s="208" t="s">
        <v>542</v>
      </c>
      <c r="P35" s="209" t="s">
        <v>531</v>
      </c>
      <c r="Q35" s="209" t="s">
        <v>532</v>
      </c>
      <c r="R35" s="209" t="s">
        <v>533</v>
      </c>
      <c r="S35" s="209" t="s">
        <v>534</v>
      </c>
      <c r="U35" s="208" t="s">
        <v>533</v>
      </c>
      <c r="V35" s="208" t="s">
        <v>542</v>
      </c>
      <c r="W35" s="209" t="s">
        <v>531</v>
      </c>
      <c r="X35" s="209" t="s">
        <v>544</v>
      </c>
      <c r="Y35" s="209" t="s">
        <v>532</v>
      </c>
      <c r="Z35" s="209" t="s">
        <v>534</v>
      </c>
      <c r="AA35" s="209" t="s">
        <v>549</v>
      </c>
    </row>
    <row r="36" spans="2:29" ht="15.75" customHeight="1" thickBot="1" x14ac:dyDescent="0.25">
      <c r="B36" s="101" t="s">
        <v>478</v>
      </c>
      <c r="C36" s="32" t="s">
        <v>449</v>
      </c>
      <c r="D36" s="149">
        <v>21.599999999999998</v>
      </c>
      <c r="E36" s="102" t="s">
        <v>441</v>
      </c>
      <c r="G36" s="206"/>
      <c r="H36" s="210">
        <v>500</v>
      </c>
      <c r="I36" s="211">
        <v>8.1387698908456141</v>
      </c>
      <c r="J36" s="211">
        <v>9.4430395579235105E-2</v>
      </c>
      <c r="K36" s="211">
        <v>12.733200286424848</v>
      </c>
      <c r="L36" s="211">
        <v>1.2095538660566065E-4</v>
      </c>
      <c r="O36" s="210">
        <v>150</v>
      </c>
      <c r="P36" s="211">
        <v>1.9890243547185975</v>
      </c>
      <c r="Q36" s="211">
        <v>0.41539918989395491</v>
      </c>
      <c r="R36" s="211">
        <v>6.9044235446125519</v>
      </c>
      <c r="S36" s="211">
        <v>3.2709050772465874E-4</v>
      </c>
      <c r="U36" s="210">
        <v>12</v>
      </c>
      <c r="V36" s="210">
        <v>150</v>
      </c>
      <c r="W36" s="211">
        <v>3.4569565587046505</v>
      </c>
      <c r="X36" s="211">
        <v>7.8210729181200982</v>
      </c>
      <c r="Y36" s="211">
        <v>0.72197052317525312</v>
      </c>
      <c r="Z36" s="211">
        <v>3.2709050772465869E-4</v>
      </c>
      <c r="AA36" s="218">
        <v>2.6674047520869218E-7</v>
      </c>
      <c r="AC36" s="219"/>
    </row>
    <row r="37" spans="2:29" ht="15.75" customHeight="1" x14ac:dyDescent="0.3">
      <c r="B37" s="101" t="s">
        <v>459</v>
      </c>
      <c r="C37" s="32" t="s">
        <v>448</v>
      </c>
      <c r="D37" s="246">
        <v>3.1302266669951677E-3</v>
      </c>
      <c r="E37" s="103" t="s">
        <v>380</v>
      </c>
      <c r="G37" s="206"/>
      <c r="H37" s="212">
        <v>600</v>
      </c>
      <c r="I37" s="211">
        <v>6.1606298898567635</v>
      </c>
      <c r="J37" s="211">
        <v>0.10292968648320217</v>
      </c>
      <c r="K37" s="211">
        <v>10.763559576339967</v>
      </c>
      <c r="L37" s="211">
        <v>1.2997339410809923E-4</v>
      </c>
      <c r="O37" s="210">
        <v>160</v>
      </c>
      <c r="P37" s="211">
        <v>1.9776146391764264</v>
      </c>
      <c r="Q37" s="211">
        <v>0.38720279983977557</v>
      </c>
      <c r="R37" s="211">
        <v>6.8648174390162016</v>
      </c>
      <c r="S37" s="211">
        <v>3.0664735099186758E-4</v>
      </c>
      <c r="U37" s="208" t="s">
        <v>544</v>
      </c>
      <c r="V37" s="212">
        <v>160</v>
      </c>
      <c r="W37" s="211">
        <v>3.45695655870465</v>
      </c>
      <c r="X37" s="211">
        <v>7.866196075818551</v>
      </c>
      <c r="Y37" s="211">
        <v>0.6768473654767998</v>
      </c>
      <c r="Z37" s="211">
        <v>3.0664735099186758E-4</v>
      </c>
      <c r="AA37" s="218">
        <v>2.5006919550814889E-7</v>
      </c>
      <c r="AC37" s="219"/>
    </row>
    <row r="38" spans="2:29" ht="15.75" customHeight="1" x14ac:dyDescent="0.2">
      <c r="B38" s="101" t="s">
        <v>460</v>
      </c>
      <c r="C38" s="32" t="s">
        <v>447</v>
      </c>
      <c r="D38" s="244">
        <v>9.0746327716093061E-2</v>
      </c>
      <c r="E38" s="103" t="s">
        <v>286</v>
      </c>
      <c r="G38" s="206"/>
      <c r="H38" s="210">
        <v>700</v>
      </c>
      <c r="I38" s="211">
        <v>4.9406776623876167</v>
      </c>
      <c r="J38" s="211">
        <v>0.1123558349232241</v>
      </c>
      <c r="K38" s="211">
        <v>9.5530334973108424</v>
      </c>
      <c r="L38" s="211">
        <v>1.3701788843153723E-4</v>
      </c>
      <c r="O38" s="210">
        <v>170</v>
      </c>
      <c r="P38" s="211">
        <v>1.9676554015216676</v>
      </c>
      <c r="Q38" s="211">
        <v>0.36259091985749725</v>
      </c>
      <c r="R38" s="211">
        <v>6.8302463213791658</v>
      </c>
      <c r="S38" s="211">
        <v>2.8860927152175766E-4</v>
      </c>
      <c r="V38" s="210">
        <v>170</v>
      </c>
      <c r="W38" s="211">
        <v>3.45695655870465</v>
      </c>
      <c r="X38" s="211">
        <v>7.9060106267289507</v>
      </c>
      <c r="Y38" s="211">
        <v>0.63703281456639971</v>
      </c>
      <c r="Z38" s="211">
        <v>2.8860927152175772E-4</v>
      </c>
      <c r="AA38" s="218">
        <v>2.3535924283119892E-7</v>
      </c>
      <c r="AC38" s="219"/>
    </row>
    <row r="39" spans="2:29" ht="15.75" customHeight="1" x14ac:dyDescent="0.2">
      <c r="B39" s="101" t="s">
        <v>445</v>
      </c>
      <c r="C39" s="37" t="s">
        <v>446</v>
      </c>
      <c r="D39" s="29">
        <v>0.28428970799263353</v>
      </c>
      <c r="E39" s="103" t="s">
        <v>374</v>
      </c>
      <c r="G39" s="206"/>
      <c r="H39" s="212">
        <v>800</v>
      </c>
      <c r="I39" s="211">
        <v>4.1184885540214831</v>
      </c>
      <c r="J39" s="211">
        <v>0.1223294062758231</v>
      </c>
      <c r="K39" s="211">
        <v>8.7408179602973046</v>
      </c>
      <c r="L39" s="211">
        <v>1.4266248511911851E-4</v>
      </c>
      <c r="O39" s="210">
        <v>180</v>
      </c>
      <c r="P39" s="211">
        <v>1.9588865806921654</v>
      </c>
      <c r="Q39" s="211">
        <v>0.34092087107231867</v>
      </c>
      <c r="R39" s="211">
        <v>6.799807451764484</v>
      </c>
      <c r="S39" s="211">
        <v>2.7257542310388228E-4</v>
      </c>
      <c r="V39" s="212">
        <v>180</v>
      </c>
      <c r="W39" s="211">
        <v>3.45695655870465</v>
      </c>
      <c r="X39" s="211">
        <v>7.9414013386493059</v>
      </c>
      <c r="Y39" s="211">
        <v>0.60164210264604423</v>
      </c>
      <c r="Z39" s="211">
        <v>2.7257542310388228E-4</v>
      </c>
      <c r="AA39" s="218">
        <v>2.2228372934057678E-7</v>
      </c>
      <c r="AC39" s="219"/>
    </row>
    <row r="40" spans="2:29" ht="15.75" customHeight="1" x14ac:dyDescent="0.3">
      <c r="B40" s="17" t="s">
        <v>381</v>
      </c>
      <c r="C40" s="37" t="s">
        <v>451</v>
      </c>
      <c r="D40" s="29">
        <v>4.8195397631555469E-2</v>
      </c>
      <c r="E40" s="103" t="s">
        <v>16</v>
      </c>
      <c r="G40" s="206"/>
      <c r="H40" s="210">
        <v>900</v>
      </c>
      <c r="I40" s="211">
        <v>3.5289955090429945</v>
      </c>
      <c r="J40" s="211">
        <v>0.13266279871398928</v>
      </c>
      <c r="K40" s="211">
        <v>8.1616583077569835</v>
      </c>
      <c r="L40" s="211">
        <v>1.4728184517664837E-4</v>
      </c>
      <c r="O40" s="210">
        <v>190</v>
      </c>
      <c r="P40" s="211">
        <v>1.9511067792566184</v>
      </c>
      <c r="Q40" s="211">
        <v>0.32169494777826524</v>
      </c>
      <c r="R40" s="211">
        <v>6.7728017270348841</v>
      </c>
      <c r="S40" s="211">
        <v>2.5822934820367787E-4</v>
      </c>
      <c r="V40" s="210">
        <v>190</v>
      </c>
      <c r="W40" s="211">
        <v>3.45695655870465</v>
      </c>
      <c r="X40" s="211">
        <v>7.9730667124727823</v>
      </c>
      <c r="Y40" s="211">
        <v>0.56997672882256822</v>
      </c>
      <c r="Z40" s="211">
        <v>2.5822934820367792E-4</v>
      </c>
      <c r="AA40" s="218">
        <v>2.1058458569107275E-7</v>
      </c>
      <c r="AC40" s="219"/>
    </row>
    <row r="41" spans="2:29" ht="15.75" customHeight="1" x14ac:dyDescent="0.2">
      <c r="B41" s="101" t="s">
        <v>454</v>
      </c>
      <c r="C41" s="37" t="s">
        <v>290</v>
      </c>
      <c r="D41" s="29">
        <v>4.8195397631555469E-2</v>
      </c>
      <c r="E41" s="103" t="s">
        <v>16</v>
      </c>
      <c r="G41" s="206"/>
      <c r="H41" s="212">
        <v>1000</v>
      </c>
      <c r="I41" s="211">
        <v>3.0866722231402028</v>
      </c>
      <c r="J41" s="211">
        <v>0.14325294016847168</v>
      </c>
      <c r="K41" s="211">
        <v>7.7299251633086747</v>
      </c>
      <c r="L41" s="211">
        <v>1.5112949619598142E-4</v>
      </c>
      <c r="O41" s="210">
        <v>200</v>
      </c>
      <c r="P41" s="211">
        <v>1.944157605042985</v>
      </c>
      <c r="Q41" s="211">
        <v>0.30452172150826368</v>
      </c>
      <c r="R41" s="211">
        <v>6.7486793265512492</v>
      </c>
      <c r="S41" s="211">
        <v>2.4531788079349402E-4</v>
      </c>
      <c r="V41" s="212">
        <v>200</v>
      </c>
      <c r="W41" s="211">
        <v>3.45695655870465</v>
      </c>
      <c r="X41" s="211">
        <v>8.001565548913911</v>
      </c>
      <c r="Y41" s="211">
        <v>0.54147789238143973</v>
      </c>
      <c r="Z41" s="211">
        <v>2.4531788079349402E-4</v>
      </c>
      <c r="AA41" s="218">
        <v>2.0005535640651911E-7</v>
      </c>
      <c r="AC41" s="219"/>
    </row>
    <row r="42" spans="2:29" ht="15.75" customHeight="1" thickBot="1" x14ac:dyDescent="0.25">
      <c r="B42" s="157" t="s">
        <v>455</v>
      </c>
      <c r="C42" s="158" t="s">
        <v>284</v>
      </c>
      <c r="D42" s="159">
        <v>9.5312655394642724E-3</v>
      </c>
      <c r="E42" s="137" t="s">
        <v>470</v>
      </c>
      <c r="G42" s="206"/>
      <c r="H42" s="210">
        <v>1100</v>
      </c>
      <c r="I42" s="211">
        <v>2.7430349138647054</v>
      </c>
      <c r="J42" s="211">
        <v>0.15403866153151621</v>
      </c>
      <c r="K42" s="211">
        <v>7.397073575396222</v>
      </c>
      <c r="L42" s="211">
        <v>1.5438250813541477E-4</v>
      </c>
      <c r="O42" s="210">
        <v>210</v>
      </c>
      <c r="P42" s="211">
        <v>1.9379127739946282</v>
      </c>
      <c r="Q42" s="211">
        <v>0.2890891113427338</v>
      </c>
      <c r="R42" s="211">
        <v>6.7270018853373621</v>
      </c>
      <c r="S42" s="211">
        <v>2.3363607694618476E-4</v>
      </c>
      <c r="V42" s="210">
        <v>210</v>
      </c>
      <c r="W42" s="211">
        <v>3.4569565587046496</v>
      </c>
      <c r="X42" s="211">
        <v>8.0273502104558823</v>
      </c>
      <c r="Y42" s="211">
        <v>0.51569323083946639</v>
      </c>
      <c r="Z42" s="211">
        <v>2.3363607694618476E-4</v>
      </c>
      <c r="AA42" s="218">
        <v>1.905289108633515E-7</v>
      </c>
      <c r="AC42" s="219"/>
    </row>
    <row r="43" spans="2:29" ht="15.75" customHeight="1" x14ac:dyDescent="0.2">
      <c r="G43" s="206"/>
      <c r="H43" s="212">
        <v>1200</v>
      </c>
      <c r="I43" s="211">
        <v>2.4686506992173283</v>
      </c>
      <c r="J43" s="211">
        <v>0.16498146913538106</v>
      </c>
      <c r="K43" s="211">
        <v>7.1336321683527091</v>
      </c>
      <c r="L43" s="211">
        <v>1.5716802223162164E-4</v>
      </c>
      <c r="O43" s="210">
        <v>220</v>
      </c>
      <c r="P43" s="211">
        <v>1.9322703666897774</v>
      </c>
      <c r="Q43" s="211">
        <v>0.27514524774472376</v>
      </c>
      <c r="R43" s="211">
        <v>6.7074156144345007</v>
      </c>
      <c r="S43" s="211">
        <v>2.2301625526681277E-4</v>
      </c>
      <c r="V43" s="212">
        <v>220</v>
      </c>
      <c r="W43" s="211">
        <v>3.4569565587046496</v>
      </c>
      <c r="X43" s="211">
        <v>8.0507908118576772</v>
      </c>
      <c r="Y43" s="211">
        <v>0.49225262943767245</v>
      </c>
      <c r="Z43" s="211">
        <v>2.2301625526681274E-4</v>
      </c>
      <c r="AA43" s="218">
        <v>1.8186850582410827E-7</v>
      </c>
      <c r="AC43" s="219"/>
    </row>
    <row r="44" spans="2:29" ht="21" thickBot="1" x14ac:dyDescent="0.35">
      <c r="B44" s="21" t="s">
        <v>429</v>
      </c>
      <c r="C44" s="3"/>
      <c r="G44" s="206"/>
      <c r="H44" s="210">
        <v>1300</v>
      </c>
      <c r="I44" s="211">
        <v>2.2446627651858919</v>
      </c>
      <c r="J44" s="211">
        <v>0.17605600292681001</v>
      </c>
      <c r="K44" s="211">
        <v>6.9207187681127014</v>
      </c>
      <c r="L44" s="211">
        <v>1.5957956006415963E-4</v>
      </c>
      <c r="O44" s="210">
        <v>230</v>
      </c>
      <c r="P44" s="211">
        <v>1.9271472227280568</v>
      </c>
      <c r="Q44" s="211">
        <v>0.26248461962349912</v>
      </c>
      <c r="R44" s="211">
        <v>6.6896318423515559</v>
      </c>
      <c r="S44" s="211">
        <v>2.1331989634216871E-4</v>
      </c>
      <c r="V44" s="210">
        <v>230</v>
      </c>
      <c r="W44" s="211">
        <v>3.45695655870465</v>
      </c>
      <c r="X44" s="211">
        <v>8.0721931000940987</v>
      </c>
      <c r="Y44" s="211">
        <v>0.47085034120125197</v>
      </c>
      <c r="Z44" s="211">
        <v>2.1331989634216874E-4</v>
      </c>
      <c r="AA44" s="218">
        <v>1.7396117948392966E-7</v>
      </c>
      <c r="AC44" s="219"/>
    </row>
    <row r="45" spans="2:29" ht="15.75" customHeight="1" x14ac:dyDescent="0.2">
      <c r="B45" s="14" t="s">
        <v>437</v>
      </c>
      <c r="C45" s="15" t="s">
        <v>438</v>
      </c>
      <c r="D45" s="15" t="s">
        <v>461</v>
      </c>
      <c r="E45" s="16" t="s">
        <v>15</v>
      </c>
      <c r="G45" s="206"/>
      <c r="H45" s="212">
        <v>1400</v>
      </c>
      <c r="I45" s="211">
        <v>2.0584530962623058</v>
      </c>
      <c r="J45" s="211">
        <v>0.18724493446842663</v>
      </c>
      <c r="K45" s="211">
        <v>6.7456980307307326</v>
      </c>
      <c r="L45" s="211">
        <v>1.616873805775E-4</v>
      </c>
      <c r="O45" s="210">
        <v>240</v>
      </c>
      <c r="P45" s="211">
        <v>1.9224748146682056</v>
      </c>
      <c r="Q45" s="211">
        <v>0.25093787775592846</v>
      </c>
      <c r="R45" s="211">
        <v>6.6734126924241348</v>
      </c>
      <c r="S45" s="211">
        <v>2.0443156732791171E-4</v>
      </c>
      <c r="V45" s="212">
        <v>240</v>
      </c>
      <c r="W45" s="211">
        <v>3.4569565587046496</v>
      </c>
      <c r="X45" s="211">
        <v>8.0918118643108166</v>
      </c>
      <c r="Y45" s="211">
        <v>0.45123157698453298</v>
      </c>
      <c r="Z45" s="211">
        <v>2.0443156732791165E-4</v>
      </c>
      <c r="AA45" s="218">
        <v>1.6671279700543252E-7</v>
      </c>
      <c r="AC45" s="219"/>
    </row>
    <row r="46" spans="2:29" ht="15.75" customHeight="1" x14ac:dyDescent="0.2">
      <c r="B46" s="133" t="s">
        <v>452</v>
      </c>
      <c r="C46" s="37"/>
      <c r="D46" s="37"/>
      <c r="E46" s="103"/>
      <c r="G46" s="206"/>
      <c r="H46" s="210">
        <v>1500</v>
      </c>
      <c r="I46" s="211">
        <v>1.901270337181423</v>
      </c>
      <c r="J46" s="211">
        <v>0.19853607019968009</v>
      </c>
      <c r="K46" s="211">
        <v>6.5998064073811022</v>
      </c>
      <c r="L46" s="211">
        <v>1.6354525386232937E-4</v>
      </c>
      <c r="O46" s="210">
        <v>250</v>
      </c>
      <c r="P46" s="211">
        <v>1.9181961651144865</v>
      </c>
      <c r="Q46" s="211">
        <v>0.24036421610100814</v>
      </c>
      <c r="R46" s="211">
        <v>6.6585603812154943</v>
      </c>
      <c r="S46" s="211">
        <v>1.9625430463479521E-4</v>
      </c>
      <c r="V46" s="210">
        <v>250</v>
      </c>
      <c r="W46" s="211">
        <v>3.45695655870465</v>
      </c>
      <c r="X46" s="211">
        <v>8.1098611273901984</v>
      </c>
      <c r="Y46" s="211">
        <v>0.43318231390515183</v>
      </c>
      <c r="Z46" s="211">
        <v>1.9625430463479524E-4</v>
      </c>
      <c r="AA46" s="218">
        <v>1.6004428512521527E-7</v>
      </c>
      <c r="AC46" s="219"/>
    </row>
    <row r="47" spans="2:29" ht="15.75" customHeight="1" x14ac:dyDescent="0.2">
      <c r="B47" s="101" t="s">
        <v>430</v>
      </c>
      <c r="C47" s="37"/>
      <c r="D47" s="150">
        <v>5.0083626671922685</v>
      </c>
      <c r="E47" s="103" t="s">
        <v>16</v>
      </c>
      <c r="G47" s="36"/>
      <c r="H47" s="212">
        <v>1600</v>
      </c>
      <c r="I47" s="211">
        <v>1.7668598901010923</v>
      </c>
      <c r="J47" s="211">
        <v>0.2099206235429108</v>
      </c>
      <c r="K47" s="211">
        <v>6.4767805136440035</v>
      </c>
      <c r="L47" s="211">
        <v>1.6519501009569081E-4</v>
      </c>
      <c r="O47" s="210">
        <v>260</v>
      </c>
      <c r="P47" s="211">
        <v>1.9142635117093345</v>
      </c>
      <c r="Q47" s="211">
        <v>0.23064560138623136</v>
      </c>
      <c r="R47" s="211">
        <v>6.644909113095566</v>
      </c>
      <c r="S47" s="211">
        <v>1.8870606214884157E-4</v>
      </c>
      <c r="V47" s="212">
        <v>260</v>
      </c>
      <c r="W47" s="211">
        <v>3.45695655870465</v>
      </c>
      <c r="X47" s="211">
        <v>8.1265219856173196</v>
      </c>
      <c r="Y47" s="211">
        <v>0.41652145567803062</v>
      </c>
      <c r="Z47" s="211">
        <v>1.8870606214884159E-4</v>
      </c>
      <c r="AA47" s="218">
        <v>1.5388873569732239E-7</v>
      </c>
      <c r="AC47" s="219"/>
    </row>
    <row r="48" spans="2:29" ht="15.75" customHeight="1" x14ac:dyDescent="0.2">
      <c r="B48" s="101" t="s">
        <v>462</v>
      </c>
      <c r="C48" s="18"/>
      <c r="D48" s="150">
        <v>0.15025088001576806</v>
      </c>
      <c r="E48" s="103" t="s">
        <v>16</v>
      </c>
      <c r="G48" s="36"/>
      <c r="H48" s="210">
        <v>1700</v>
      </c>
      <c r="I48" s="211">
        <v>1.6506360514757072</v>
      </c>
      <c r="J48" s="211">
        <v>0.22139214070591606</v>
      </c>
      <c r="K48" s="211">
        <v>6.3720281921816238</v>
      </c>
      <c r="L48" s="211">
        <v>1.66669667582874E-4</v>
      </c>
      <c r="O48" s="210">
        <v>270</v>
      </c>
      <c r="P48" s="211">
        <v>1.9106365165784973</v>
      </c>
      <c r="Q48" s="211">
        <v>0.22168234817840943</v>
      </c>
      <c r="R48" s="211">
        <v>6.6323188647569067</v>
      </c>
      <c r="S48" s="211">
        <v>1.8171694873592151E-4</v>
      </c>
      <c r="V48" s="210">
        <v>270</v>
      </c>
      <c r="W48" s="211">
        <v>3.4569565587046496</v>
      </c>
      <c r="X48" s="211">
        <v>8.1419487061979865</v>
      </c>
      <c r="Y48" s="211">
        <v>0.40109473509736271</v>
      </c>
      <c r="Z48" s="211">
        <v>1.8171694873592148E-4</v>
      </c>
      <c r="AA48" s="218">
        <v>1.4818915289371783E-7</v>
      </c>
      <c r="AC48" s="219"/>
    </row>
    <row r="49" spans="2:29" ht="15.75" customHeight="1" x14ac:dyDescent="0.2">
      <c r="B49" s="133" t="s">
        <v>431</v>
      </c>
      <c r="C49" s="154">
        <v>0.01</v>
      </c>
      <c r="D49" s="150">
        <v>5.0083626671922683E-2</v>
      </c>
      <c r="E49" s="103" t="s">
        <v>16</v>
      </c>
      <c r="G49" s="36"/>
      <c r="H49" s="212">
        <v>1800</v>
      </c>
      <c r="I49" s="211">
        <v>1.5491620893236209</v>
      </c>
      <c r="J49" s="211">
        <v>0.23294580897555772</v>
      </c>
      <c r="K49" s="211">
        <v>6.2821078982991789</v>
      </c>
      <c r="L49" s="211">
        <v>1.6799562988044939E-4</v>
      </c>
      <c r="O49" s="210">
        <v>280</v>
      </c>
      <c r="P49" s="211">
        <v>1.9072808776610712</v>
      </c>
      <c r="Q49" s="211">
        <v>0.21338968711713938</v>
      </c>
      <c r="R49" s="211">
        <v>6.6206705647782105</v>
      </c>
      <c r="S49" s="211">
        <v>1.752270577096386E-4</v>
      </c>
      <c r="V49" s="212">
        <v>280</v>
      </c>
      <c r="W49" s="211">
        <v>3.4569565587046496</v>
      </c>
      <c r="X49" s="211">
        <v>8.1562735181657491</v>
      </c>
      <c r="Y49" s="211">
        <v>0.38676992312959979</v>
      </c>
      <c r="Z49" s="211">
        <v>1.7522705770963863E-4</v>
      </c>
      <c r="AA49" s="218">
        <v>1.4289668314751365E-7</v>
      </c>
      <c r="AC49" s="219"/>
    </row>
    <row r="50" spans="2:29" ht="15.75" customHeight="1" x14ac:dyDescent="0.2">
      <c r="B50" s="133" t="s">
        <v>432</v>
      </c>
      <c r="C50" s="18"/>
      <c r="D50" s="18"/>
      <c r="E50" s="103"/>
      <c r="G50" s="36"/>
      <c r="H50" s="210">
        <v>1900</v>
      </c>
      <c r="I50" s="211">
        <v>1.4598127504535041</v>
      </c>
      <c r="J50" s="211">
        <v>0.24457799761788471</v>
      </c>
      <c r="K50" s="211">
        <v>6.2043907480713889</v>
      </c>
      <c r="L50" s="211">
        <v>1.6919425878229977E-4</v>
      </c>
      <c r="O50" s="210">
        <v>290</v>
      </c>
      <c r="P50" s="211">
        <v>1.9041672404835579</v>
      </c>
      <c r="Q50" s="211">
        <v>0.20569507562398948</v>
      </c>
      <c r="R50" s="211">
        <v>6.6098623161075469</v>
      </c>
      <c r="S50" s="211">
        <v>1.6918474537482351E-4</v>
      </c>
      <c r="V50" s="210">
        <v>290</v>
      </c>
      <c r="W50" s="211">
        <v>3.4569565587046496</v>
      </c>
      <c r="X50" s="211">
        <v>8.1696104120667705</v>
      </c>
      <c r="Y50" s="211">
        <v>0.37343302922857913</v>
      </c>
      <c r="Z50" s="211">
        <v>1.6918474537482345E-4</v>
      </c>
      <c r="AA50" s="218">
        <v>1.3796921131484072E-7</v>
      </c>
      <c r="AC50" s="219"/>
    </row>
    <row r="51" spans="2:29" ht="15.75" customHeight="1" x14ac:dyDescent="0.2">
      <c r="B51" s="17" t="s">
        <v>433</v>
      </c>
      <c r="C51" s="18"/>
      <c r="D51" s="151">
        <v>4.8195397631555469E-2</v>
      </c>
      <c r="E51" s="103" t="s">
        <v>16</v>
      </c>
      <c r="G51" s="36"/>
      <c r="H51" s="212">
        <v>2000</v>
      </c>
      <c r="I51" s="211">
        <v>1.380548815918812</v>
      </c>
      <c r="J51" s="211">
        <v>0.25628594503017821</v>
      </c>
      <c r="K51" s="211">
        <v>6.1368347609489895</v>
      </c>
      <c r="L51" s="211">
        <v>1.7028302002586491E-4</v>
      </c>
      <c r="O51" s="210">
        <v>300</v>
      </c>
      <c r="P51" s="211">
        <v>1.901270337181423</v>
      </c>
      <c r="Q51" s="211">
        <v>0.19853607019968009</v>
      </c>
      <c r="R51" s="211">
        <v>6.5998064073811022</v>
      </c>
      <c r="S51" s="211">
        <v>1.6354525386232937E-4</v>
      </c>
      <c r="V51" s="212">
        <v>300</v>
      </c>
      <c r="W51" s="211">
        <v>3.45695655870465</v>
      </c>
      <c r="X51" s="211">
        <v>8.1820581797077239</v>
      </c>
      <c r="Y51" s="211">
        <v>0.3609852615876265</v>
      </c>
      <c r="Z51" s="211">
        <v>1.6354525386232934E-4</v>
      </c>
      <c r="AA51" s="218">
        <v>1.3337023760434604E-7</v>
      </c>
      <c r="AC51" s="219"/>
    </row>
    <row r="52" spans="2:29" ht="15.75" customHeight="1" x14ac:dyDescent="0.2">
      <c r="B52" s="101" t="s">
        <v>463</v>
      </c>
      <c r="C52" s="153">
        <v>0.05</v>
      </c>
      <c r="D52" s="152">
        <v>2.4097698815777734E-3</v>
      </c>
      <c r="E52" s="103" t="s">
        <v>16</v>
      </c>
      <c r="G52" s="36"/>
      <c r="H52" s="210">
        <v>2100</v>
      </c>
      <c r="I52" s="211">
        <v>1.309762674578917</v>
      </c>
      <c r="J52" s="211">
        <v>0.26806754056532822</v>
      </c>
      <c r="K52" s="211">
        <v>6.0778302151442452</v>
      </c>
      <c r="L52" s="211">
        <v>1.7127633089725306E-4</v>
      </c>
      <c r="O52" s="210">
        <v>310</v>
      </c>
      <c r="P52" s="211">
        <v>1.8985682992664263</v>
      </c>
      <c r="Q52" s="211">
        <v>0.19185862809248336</v>
      </c>
      <c r="R52" s="211">
        <v>6.5904269273589096</v>
      </c>
      <c r="S52" s="211">
        <v>1.5826960051193166E-4</v>
      </c>
      <c r="V52" s="210">
        <v>310</v>
      </c>
      <c r="W52" s="211">
        <v>3.4569565587046496</v>
      </c>
      <c r="X52" s="211">
        <v>8.1937028655653883</v>
      </c>
      <c r="Y52" s="211">
        <v>0.34934057572996113</v>
      </c>
      <c r="Z52" s="211">
        <v>1.5826960051193163E-4</v>
      </c>
      <c r="AA52" s="218">
        <v>1.2906797187517361E-7</v>
      </c>
      <c r="AC52" s="219"/>
    </row>
    <row r="53" spans="2:29" ht="15.75" customHeight="1" x14ac:dyDescent="0.2">
      <c r="B53" s="101" t="s">
        <v>464</v>
      </c>
      <c r="C53" s="153">
        <v>0.01</v>
      </c>
      <c r="D53" s="152">
        <v>4.8195397631555469E-4</v>
      </c>
      <c r="E53" s="103" t="s">
        <v>16</v>
      </c>
      <c r="G53" s="36"/>
      <c r="H53" s="212">
        <v>2200</v>
      </c>
      <c r="I53" s="211">
        <v>1.2461701703619783</v>
      </c>
      <c r="J53" s="211">
        <v>0.2799211692316485</v>
      </c>
      <c r="K53" s="211">
        <v>6.0260913395936262</v>
      </c>
      <c r="L53" s="211">
        <v>1.7218619624949908E-4</v>
      </c>
      <c r="O53" s="210">
        <v>320</v>
      </c>
      <c r="P53" s="211">
        <v>1.8960421045651246</v>
      </c>
      <c r="Q53" s="211">
        <v>0.18561574053867572</v>
      </c>
      <c r="R53" s="211">
        <v>6.5816578451038001</v>
      </c>
      <c r="S53" s="211">
        <v>1.5332367549593376E-4</v>
      </c>
      <c r="V53" s="212">
        <v>320</v>
      </c>
      <c r="W53" s="211">
        <v>3.4569565587046496</v>
      </c>
      <c r="X53" s="211">
        <v>8.2046197585569498</v>
      </c>
      <c r="Y53" s="211">
        <v>0.33842368273839979</v>
      </c>
      <c r="Z53" s="211">
        <v>1.5332367549593379E-4</v>
      </c>
      <c r="AA53" s="218">
        <v>1.2503459775407442E-7</v>
      </c>
      <c r="AC53" s="219"/>
    </row>
    <row r="54" spans="2:29" ht="15.75" customHeight="1" x14ac:dyDescent="0.2">
      <c r="B54" s="101" t="s">
        <v>465</v>
      </c>
      <c r="C54" s="153">
        <v>0.01</v>
      </c>
      <c r="D54" s="152">
        <v>4.8195397631555469E-4</v>
      </c>
      <c r="E54" s="103" t="s">
        <v>16</v>
      </c>
      <c r="G54" s="36"/>
      <c r="H54" s="210">
        <v>2300</v>
      </c>
      <c r="I54" s="211">
        <v>1.1887333475478148</v>
      </c>
      <c r="J54" s="211">
        <v>0.29184559911218927</v>
      </c>
      <c r="K54" s="211">
        <v>5.9805789466600041</v>
      </c>
      <c r="L54" s="211">
        <v>1.7302269196410911E-4</v>
      </c>
      <c r="O54" s="210">
        <v>330</v>
      </c>
      <c r="P54" s="211">
        <v>1.8936751287310567</v>
      </c>
      <c r="Q54" s="211">
        <v>0.179766324431892</v>
      </c>
      <c r="R54" s="211">
        <v>6.5734414531629488</v>
      </c>
      <c r="S54" s="211">
        <v>1.4867750351120848E-4</v>
      </c>
      <c r="V54" s="210">
        <v>330</v>
      </c>
      <c r="W54" s="211">
        <v>3.4569565587046496</v>
      </c>
      <c r="X54" s="211">
        <v>8.2148750216702346</v>
      </c>
      <c r="Y54" s="211">
        <v>0.32816841962511495</v>
      </c>
      <c r="Z54" s="211">
        <v>1.486775035112085E-4</v>
      </c>
      <c r="AA54" s="218">
        <v>1.2124567054940549E-7</v>
      </c>
      <c r="AC54" s="219"/>
    </row>
    <row r="55" spans="2:29" ht="15.75" customHeight="1" x14ac:dyDescent="0.2">
      <c r="B55" s="101" t="s">
        <v>466</v>
      </c>
      <c r="C55" s="153">
        <v>0.1</v>
      </c>
      <c r="D55" s="152">
        <v>4.8195397631555469E-3</v>
      </c>
      <c r="E55" s="103" t="s">
        <v>16</v>
      </c>
      <c r="G55" s="36"/>
      <c r="H55" s="212">
        <v>2400</v>
      </c>
      <c r="I55" s="211">
        <v>1.1366042828633225</v>
      </c>
      <c r="J55" s="211">
        <v>0.3038398984057305</v>
      </c>
      <c r="K55" s="211">
        <v>5.9404441812690525</v>
      </c>
      <c r="L55" s="211">
        <v>1.7379433682577429E-4</v>
      </c>
      <c r="O55" s="210">
        <v>340</v>
      </c>
      <c r="P55" s="211">
        <v>1.8914527789669302</v>
      </c>
      <c r="Q55" s="211">
        <v>0.17427431715488992</v>
      </c>
      <c r="R55" s="211">
        <v>6.5657270961218197</v>
      </c>
      <c r="S55" s="211">
        <v>1.4430463576087886E-4</v>
      </c>
      <c r="V55" s="212">
        <v>340</v>
      </c>
      <c r="W55" s="211">
        <v>3.4569565587046505</v>
      </c>
      <c r="X55" s="211">
        <v>8.2245270340121515</v>
      </c>
      <c r="Y55" s="211">
        <v>0.31851640728319991</v>
      </c>
      <c r="Z55" s="211">
        <v>1.4430463576087886E-4</v>
      </c>
      <c r="AA55" s="218">
        <v>1.1767962141559949E-7</v>
      </c>
      <c r="AC55" s="219"/>
    </row>
    <row r="56" spans="2:29" ht="15.75" customHeight="1" x14ac:dyDescent="0.2">
      <c r="B56" s="101" t="s">
        <v>467</v>
      </c>
      <c r="C56" s="153">
        <v>0.01</v>
      </c>
      <c r="D56" s="152">
        <v>4.8195397631555469E-4</v>
      </c>
      <c r="E56" s="103" t="s">
        <v>16</v>
      </c>
      <c r="G56" s="36"/>
      <c r="H56" s="210">
        <v>2500</v>
      </c>
      <c r="I56" s="211">
        <v>1.0890835934623306</v>
      </c>
      <c r="J56" s="211">
        <v>0.31590337338686403</v>
      </c>
      <c r="K56" s="211">
        <v>5.9049869668491946</v>
      </c>
      <c r="L56" s="211">
        <v>1.7450838169393468E-4</v>
      </c>
      <c r="O56" s="210">
        <v>350</v>
      </c>
      <c r="P56" s="211">
        <v>1.8893621928969278</v>
      </c>
      <c r="Q56" s="211">
        <v>0.1691079324142932</v>
      </c>
      <c r="R56" s="211">
        <v>6.5584701253112208</v>
      </c>
      <c r="S56" s="211">
        <v>1.4018164616771088E-4</v>
      </c>
      <c r="V56" s="210">
        <v>350</v>
      </c>
      <c r="W56" s="211">
        <v>3.4569565587046496</v>
      </c>
      <c r="X56" s="211">
        <v>8.2336275027916699</v>
      </c>
      <c r="Y56" s="211">
        <v>0.30941593850367988</v>
      </c>
      <c r="Z56" s="211">
        <v>1.4018164616771086E-4</v>
      </c>
      <c r="AA56" s="218">
        <v>1.143173465180109E-7</v>
      </c>
      <c r="AC56" s="219"/>
    </row>
    <row r="57" spans="2:29" ht="15.75" customHeight="1" x14ac:dyDescent="0.2">
      <c r="B57" s="101" t="s">
        <v>468</v>
      </c>
      <c r="C57" s="153">
        <v>0.01</v>
      </c>
      <c r="D57" s="152">
        <v>4.8195397631555469E-4</v>
      </c>
      <c r="E57" s="103" t="s">
        <v>16</v>
      </c>
      <c r="G57" s="36"/>
      <c r="H57" s="212">
        <v>2600</v>
      </c>
      <c r="I57" s="211">
        <v>1.0455893412781962</v>
      </c>
      <c r="J57" s="211">
        <v>0.32803552138589631</v>
      </c>
      <c r="K57" s="211">
        <v>5.8736248626640926</v>
      </c>
      <c r="L57" s="211">
        <v>1.7517103662957495E-4</v>
      </c>
      <c r="O57" s="210">
        <v>360</v>
      </c>
      <c r="P57" s="211">
        <v>1.8873919894587015</v>
      </c>
      <c r="Q57" s="211">
        <v>0.1642390446295813</v>
      </c>
      <c r="R57" s="211">
        <v>6.5516310340882828</v>
      </c>
      <c r="S57" s="211">
        <v>1.3628771155194114E-4</v>
      </c>
      <c r="V57" s="212">
        <v>360</v>
      </c>
      <c r="W57" s="211">
        <v>3.45695655870465</v>
      </c>
      <c r="X57" s="211">
        <v>8.2422223899723281</v>
      </c>
      <c r="Y57" s="211">
        <v>0.30082105132302212</v>
      </c>
      <c r="Z57" s="211">
        <v>1.3628771155194114E-4</v>
      </c>
      <c r="AA57" s="218">
        <v>1.1114186467028839E-7</v>
      </c>
      <c r="AC57" s="219"/>
    </row>
    <row r="58" spans="2:29" ht="15.75" customHeight="1" x14ac:dyDescent="0.2">
      <c r="B58" s="101" t="s">
        <v>469</v>
      </c>
      <c r="C58" s="153">
        <v>0.01</v>
      </c>
      <c r="D58" s="152">
        <v>4.8195397631555469E-4</v>
      </c>
      <c r="E58" s="103" t="s">
        <v>16</v>
      </c>
      <c r="G58" s="36"/>
      <c r="H58" s="210">
        <v>2700</v>
      </c>
      <c r="I58" s="211">
        <v>1.005633421316009</v>
      </c>
      <c r="J58" s="211">
        <v>0.34023599471640087</v>
      </c>
      <c r="K58" s="211">
        <v>5.8458694160324098</v>
      </c>
      <c r="L58" s="211">
        <v>1.7578765095042958E-4</v>
      </c>
      <c r="O58" s="210">
        <v>370</v>
      </c>
      <c r="P58" s="211">
        <v>1.8855320616243492</v>
      </c>
      <c r="Q58" s="211">
        <v>0.15964267669243301</v>
      </c>
      <c r="R58" s="211">
        <v>6.5451747383167822</v>
      </c>
      <c r="S58" s="211">
        <v>1.3260425988837515E-4</v>
      </c>
      <c r="V58" s="210">
        <v>370</v>
      </c>
      <c r="W58" s="211">
        <v>3.45695655870465</v>
      </c>
      <c r="X58" s="211">
        <v>8.2503526886567347</v>
      </c>
      <c r="Y58" s="211">
        <v>0.2926907526386161</v>
      </c>
      <c r="Z58" s="211">
        <v>1.3260425988837515E-4</v>
      </c>
      <c r="AA58" s="218">
        <v>1.0813803049001032E-7</v>
      </c>
      <c r="AC58" s="219"/>
    </row>
    <row r="59" spans="2:29" ht="15.75" customHeight="1" x14ac:dyDescent="0.2">
      <c r="B59" s="133" t="s">
        <v>453</v>
      </c>
      <c r="C59" s="18"/>
      <c r="D59" s="18"/>
      <c r="E59" s="103"/>
      <c r="G59" s="36"/>
      <c r="H59" s="212">
        <v>2800</v>
      </c>
      <c r="I59" s="211">
        <v>0.96880341671956716</v>
      </c>
      <c r="J59" s="211">
        <v>0.35250457269263358</v>
      </c>
      <c r="K59" s="211">
        <v>5.8213079894122002</v>
      </c>
      <c r="L59" s="211">
        <v>1.7636285720148048E-4</v>
      </c>
      <c r="O59" s="210">
        <v>380</v>
      </c>
      <c r="P59" s="211">
        <v>1.8837734029791235</v>
      </c>
      <c r="Q59" s="211">
        <v>0.15529657139737463</v>
      </c>
      <c r="R59" s="211">
        <v>6.5390699743764982</v>
      </c>
      <c r="S59" s="211">
        <v>1.2911467410183896E-4</v>
      </c>
      <c r="V59" s="212">
        <v>380</v>
      </c>
      <c r="W59" s="211">
        <v>3.45695655870465</v>
      </c>
      <c r="X59" s="211">
        <v>8.2580550768840659</v>
      </c>
      <c r="Y59" s="211">
        <v>0.28498836441128411</v>
      </c>
      <c r="Z59" s="211">
        <v>1.2911467410183899E-4</v>
      </c>
      <c r="AA59" s="218">
        <v>1.0529229284553637E-7</v>
      </c>
      <c r="AC59" s="219"/>
    </row>
    <row r="60" spans="2:29" ht="15.75" customHeight="1" x14ac:dyDescent="0.2">
      <c r="B60" s="17">
        <v>2</v>
      </c>
      <c r="C60" s="135">
        <v>8</v>
      </c>
      <c r="D60" s="151">
        <v>2.64</v>
      </c>
      <c r="E60" s="103" t="s">
        <v>16</v>
      </c>
      <c r="G60" s="36"/>
      <c r="H60" s="210">
        <v>2900</v>
      </c>
      <c r="I60" s="211">
        <v>0.93474850094788287</v>
      </c>
      <c r="J60" s="211">
        <v>0.36484113970076842</v>
      </c>
      <c r="K60" s="211">
        <v>5.7995896406486516</v>
      </c>
      <c r="L60" s="211">
        <v>1.7690068719515442E-4</v>
      </c>
      <c r="O60" s="210">
        <v>390</v>
      </c>
      <c r="P60" s="211">
        <v>1.8821079618766783</v>
      </c>
      <c r="Q60" s="211">
        <v>0.15118083102126756</v>
      </c>
      <c r="R60" s="211">
        <v>6.5332887928979462</v>
      </c>
      <c r="S60" s="211">
        <v>1.2580404143256105E-4</v>
      </c>
      <c r="V60" s="210">
        <v>390</v>
      </c>
      <c r="W60" s="211">
        <v>3.45695655870465</v>
      </c>
      <c r="X60" s="211">
        <v>8.2653624708433302</v>
      </c>
      <c r="Y60" s="211">
        <v>0.27768097045202039</v>
      </c>
      <c r="Z60" s="211">
        <v>1.2580404143256103E-4</v>
      </c>
      <c r="AA60" s="218">
        <v>1.0259249046488158E-7</v>
      </c>
      <c r="AC60" s="219"/>
    </row>
    <row r="61" spans="2:29" ht="15.75" customHeight="1" x14ac:dyDescent="0.2">
      <c r="B61" s="133" t="s">
        <v>434</v>
      </c>
      <c r="C61" s="18"/>
      <c r="D61" s="151">
        <v>7.9065316510378274</v>
      </c>
      <c r="E61" s="103" t="s">
        <v>16</v>
      </c>
      <c r="G61" s="36"/>
      <c r="H61" s="212">
        <v>3000</v>
      </c>
      <c r="I61" s="211">
        <v>0.90316837312982245</v>
      </c>
      <c r="J61" s="211">
        <v>0.37724566785312025</v>
      </c>
      <c r="K61" s="211">
        <v>5.7804140409829428</v>
      </c>
      <c r="L61" s="211">
        <v>1.7740466623796392E-4</v>
      </c>
      <c r="O61" s="210">
        <v>400</v>
      </c>
      <c r="P61" s="211">
        <v>1.8805285181870188</v>
      </c>
      <c r="Q61" s="211">
        <v>0.14727761273526838</v>
      </c>
      <c r="R61" s="211">
        <v>6.5278061309222872</v>
      </c>
      <c r="S61" s="211">
        <v>1.2265894039674701E-4</v>
      </c>
      <c r="V61" s="212">
        <v>400</v>
      </c>
      <c r="W61" s="211">
        <v>3.4569565587046505</v>
      </c>
      <c r="X61" s="211">
        <v>8.2723044951046312</v>
      </c>
      <c r="Y61" s="211">
        <v>0.27073894619071986</v>
      </c>
      <c r="Z61" s="211">
        <v>1.2265894039674701E-4</v>
      </c>
      <c r="AA61" s="218">
        <v>1.0002767820325956E-7</v>
      </c>
      <c r="AC61" s="219"/>
    </row>
    <row r="62" spans="2:29" ht="15.75" customHeight="1" x14ac:dyDescent="0.2">
      <c r="B62" s="133" t="s">
        <v>435</v>
      </c>
      <c r="C62" s="18"/>
      <c r="D62" s="151">
        <v>2.8981689838455589</v>
      </c>
      <c r="E62" s="103" t="s">
        <v>16</v>
      </c>
      <c r="G62" s="36"/>
      <c r="H62" s="210">
        <v>3100</v>
      </c>
      <c r="I62" s="211">
        <v>0.87380449259345638</v>
      </c>
      <c r="J62" s="211">
        <v>0.38971820314918926</v>
      </c>
      <c r="K62" s="211">
        <v>5.7635226957426458</v>
      </c>
      <c r="L62" s="211">
        <v>1.7787789017748991E-4</v>
      </c>
      <c r="O62" s="210">
        <v>410</v>
      </c>
      <c r="P62" s="211">
        <v>1.8790285786567971</v>
      </c>
      <c r="Q62" s="211">
        <v>0.14357087001276153</v>
      </c>
      <c r="R62" s="211">
        <v>6.5225994486695589</v>
      </c>
      <c r="S62" s="211">
        <v>1.1966725892365563E-4</v>
      </c>
      <c r="V62" s="210">
        <v>410</v>
      </c>
      <c r="W62" s="211">
        <v>3.4569565587046496</v>
      </c>
      <c r="X62" s="211">
        <v>8.2789078840361103</v>
      </c>
      <c r="Y62" s="211">
        <v>0.26413555725923887</v>
      </c>
      <c r="Z62" s="211">
        <v>1.1966725892365563E-4</v>
      </c>
      <c r="AA62" s="218">
        <v>9.7587978734887346E-8</v>
      </c>
      <c r="AC62" s="219"/>
    </row>
    <row r="63" spans="2:29" ht="15.75" customHeight="1" x14ac:dyDescent="0.2">
      <c r="B63" s="133" t="s">
        <v>436</v>
      </c>
      <c r="C63" s="18"/>
      <c r="D63" s="151">
        <v>2.7479181038297908</v>
      </c>
      <c r="E63" s="103" t="s">
        <v>16</v>
      </c>
      <c r="G63" s="36"/>
      <c r="H63" s="212">
        <v>3200</v>
      </c>
      <c r="I63" s="211">
        <v>0.84643307454500794</v>
      </c>
      <c r="J63" s="211">
        <v>0.40225885434676967</v>
      </c>
      <c r="K63" s="211">
        <v>5.7486919288917777</v>
      </c>
      <c r="L63" s="211">
        <v>1.7832308881283543E-4</v>
      </c>
      <c r="O63" s="210">
        <v>420</v>
      </c>
      <c r="P63" s="211">
        <v>1.8776022876833545</v>
      </c>
      <c r="Q63" s="211">
        <v>0.14004613212869241</v>
      </c>
      <c r="R63" s="211">
        <v>6.5176484198120468</v>
      </c>
      <c r="S63" s="211">
        <v>1.1681803847309241E-4</v>
      </c>
      <c r="V63" s="212">
        <v>420</v>
      </c>
      <c r="W63" s="211">
        <v>3.4569565587046496</v>
      </c>
      <c r="X63" s="211">
        <v>8.2851968258756159</v>
      </c>
      <c r="Y63" s="211">
        <v>0.25784661541973319</v>
      </c>
      <c r="Z63" s="211">
        <v>1.1681803847309238E-4</v>
      </c>
      <c r="AA63" s="218">
        <v>9.5264455431675751E-8</v>
      </c>
      <c r="AC63" s="219"/>
    </row>
    <row r="64" spans="2:29" ht="15.75" customHeight="1" thickBot="1" x14ac:dyDescent="0.25">
      <c r="B64" s="136" t="s">
        <v>399</v>
      </c>
      <c r="C64" s="155"/>
      <c r="D64" s="156">
        <v>0.36655376994097522</v>
      </c>
      <c r="E64" s="137" t="s">
        <v>400</v>
      </c>
      <c r="G64" s="36"/>
      <c r="H64" s="210">
        <v>3300</v>
      </c>
      <c r="I64" s="211">
        <v>0.82085944794583243</v>
      </c>
      <c r="J64" s="211">
        <v>0.41486778394677304</v>
      </c>
      <c r="K64" s="211">
        <v>5.7357272318926054</v>
      </c>
      <c r="L64" s="211">
        <v>1.7874267840122825E-4</v>
      </c>
      <c r="O64" s="210">
        <v>430</v>
      </c>
      <c r="P64" s="211">
        <v>1.8762443509170792</v>
      </c>
      <c r="Q64" s="211">
        <v>0.13669031536101858</v>
      </c>
      <c r="R64" s="211">
        <v>6.512934666278098</v>
      </c>
      <c r="S64" s="211">
        <v>1.1410133990395071E-4</v>
      </c>
      <c r="V64" s="210">
        <v>430</v>
      </c>
      <c r="W64" s="211">
        <v>3.4569565587046496</v>
      </c>
      <c r="X64" s="211">
        <v>8.2911932587923545</v>
      </c>
      <c r="Y64" s="211">
        <v>0.25185018250299518</v>
      </c>
      <c r="Z64" s="211">
        <v>1.141013399039507E-4</v>
      </c>
      <c r="AA64" s="218">
        <v>9.3049002979776307E-8</v>
      </c>
      <c r="AC64" s="219"/>
    </row>
    <row r="65" spans="2:14" x14ac:dyDescent="0.2">
      <c r="G65" s="36"/>
    </row>
    <row r="66" spans="2:14" ht="21" thickBot="1" x14ac:dyDescent="0.35">
      <c r="B66" s="21" t="s">
        <v>424</v>
      </c>
      <c r="E66" s="130" t="s">
        <v>421</v>
      </c>
    </row>
    <row r="67" spans="2:14" ht="39" thickBot="1" x14ac:dyDescent="0.25">
      <c r="B67" s="91" t="s">
        <v>233</v>
      </c>
      <c r="C67" s="92" t="s">
        <v>111</v>
      </c>
      <c r="D67" s="92" t="s">
        <v>416</v>
      </c>
      <c r="E67" s="92" t="s">
        <v>491</v>
      </c>
      <c r="F67" s="93" t="s">
        <v>442</v>
      </c>
    </row>
    <row r="68" spans="2:14" x14ac:dyDescent="0.2">
      <c r="B68" s="114" t="s">
        <v>334</v>
      </c>
      <c r="C68" s="145">
        <v>1500</v>
      </c>
      <c r="D68" s="145">
        <v>0.02</v>
      </c>
      <c r="E68" s="221">
        <v>1600</v>
      </c>
      <c r="F68" s="146">
        <v>18</v>
      </c>
    </row>
    <row r="69" spans="2:14" x14ac:dyDescent="0.2">
      <c r="B69" s="48" t="s">
        <v>492</v>
      </c>
      <c r="C69" s="143">
        <v>70</v>
      </c>
      <c r="D69" s="143" t="s">
        <v>418</v>
      </c>
      <c r="E69" s="143">
        <v>808</v>
      </c>
      <c r="F69" s="147">
        <v>4.4000000000000004</v>
      </c>
    </row>
    <row r="70" spans="2:14" x14ac:dyDescent="0.2">
      <c r="B70" s="45" t="s">
        <v>227</v>
      </c>
      <c r="C70" s="142">
        <v>225</v>
      </c>
      <c r="D70" s="142" t="s">
        <v>417</v>
      </c>
      <c r="E70" s="142">
        <v>1004</v>
      </c>
      <c r="F70" s="147">
        <v>3.2</v>
      </c>
    </row>
    <row r="71" spans="2:14" x14ac:dyDescent="0.2">
      <c r="B71" s="55" t="s">
        <v>228</v>
      </c>
      <c r="C71" s="143">
        <v>330</v>
      </c>
      <c r="D71" s="143" t="s">
        <v>420</v>
      </c>
      <c r="E71" s="143">
        <v>1168</v>
      </c>
      <c r="F71" s="147">
        <v>3.7</v>
      </c>
    </row>
    <row r="72" spans="2:14" ht="13.5" thickBot="1" x14ac:dyDescent="0.25">
      <c r="B72" s="129" t="s">
        <v>267</v>
      </c>
      <c r="C72" s="144">
        <v>450</v>
      </c>
      <c r="D72" s="144" t="s">
        <v>419</v>
      </c>
      <c r="E72" s="144">
        <v>280</v>
      </c>
      <c r="F72" s="148">
        <v>3.7</v>
      </c>
    </row>
    <row r="73" spans="2:14" x14ac:dyDescent="0.2">
      <c r="G73" s="36"/>
    </row>
    <row r="74" spans="2:14" ht="21" thickBot="1" x14ac:dyDescent="0.35">
      <c r="B74" s="21" t="s">
        <v>493</v>
      </c>
    </row>
    <row r="75" spans="2:14" ht="38.25" x14ac:dyDescent="0.2">
      <c r="B75" s="107" t="s">
        <v>346</v>
      </c>
      <c r="C75" s="222" t="s">
        <v>383</v>
      </c>
      <c r="D75" s="222" t="s">
        <v>382</v>
      </c>
      <c r="E75" s="222" t="s">
        <v>397</v>
      </c>
      <c r="F75" s="222" t="s">
        <v>390</v>
      </c>
      <c r="G75" s="222" t="s">
        <v>386</v>
      </c>
      <c r="H75" s="222" t="s">
        <v>494</v>
      </c>
      <c r="I75" s="231" t="s">
        <v>19</v>
      </c>
      <c r="J75" s="231"/>
      <c r="K75" s="231"/>
      <c r="L75" s="231"/>
      <c r="M75" s="231"/>
      <c r="N75" s="232"/>
    </row>
    <row r="76" spans="2:14" x14ac:dyDescent="0.2">
      <c r="B76" s="183" t="s">
        <v>495</v>
      </c>
      <c r="C76" s="111">
        <v>2767.9904710203127</v>
      </c>
      <c r="D76" s="82">
        <v>0.1</v>
      </c>
      <c r="E76" s="105">
        <v>482.63600000000002</v>
      </c>
      <c r="F76" s="105">
        <v>70000</v>
      </c>
      <c r="G76" s="82">
        <v>350</v>
      </c>
      <c r="H76" s="106" t="s">
        <v>387</v>
      </c>
      <c r="I76" s="233" t="s">
        <v>391</v>
      </c>
      <c r="J76" s="233"/>
      <c r="K76" s="233"/>
      <c r="L76" s="233"/>
      <c r="M76" s="233"/>
      <c r="N76" s="234"/>
    </row>
    <row r="77" spans="2:14" x14ac:dyDescent="0.2">
      <c r="B77" s="104" t="s">
        <v>395</v>
      </c>
      <c r="C77" s="112">
        <v>7888.7728424078905</v>
      </c>
      <c r="D77" s="82">
        <v>0.28499999999999998</v>
      </c>
      <c r="E77" s="105">
        <v>1034.22</v>
      </c>
      <c r="F77" s="105">
        <v>150000</v>
      </c>
      <c r="G77" s="82">
        <v>800</v>
      </c>
      <c r="H77" s="106" t="s">
        <v>388</v>
      </c>
      <c r="I77" s="235" t="s">
        <v>392</v>
      </c>
      <c r="J77" s="235"/>
      <c r="K77" s="235"/>
      <c r="L77" s="235"/>
      <c r="M77" s="235"/>
      <c r="N77" s="236"/>
    </row>
    <row r="78" spans="2:14" x14ac:dyDescent="0.2">
      <c r="B78" s="104" t="s">
        <v>384</v>
      </c>
      <c r="C78" s="112">
        <v>4428.7847536324998</v>
      </c>
      <c r="D78" s="82">
        <v>0.16</v>
      </c>
      <c r="E78" s="105">
        <v>827.37600000000009</v>
      </c>
      <c r="F78" s="105">
        <v>120000</v>
      </c>
      <c r="G78" s="82">
        <v>800</v>
      </c>
      <c r="H78" s="106" t="s">
        <v>388</v>
      </c>
      <c r="I78" s="235" t="s">
        <v>393</v>
      </c>
      <c r="J78" s="235"/>
      <c r="K78" s="235"/>
      <c r="L78" s="235"/>
      <c r="M78" s="235"/>
      <c r="N78" s="236"/>
    </row>
    <row r="79" spans="2:14" ht="13.5" thickBot="1" x14ac:dyDescent="0.25">
      <c r="B79" s="108" t="s">
        <v>385</v>
      </c>
      <c r="C79" s="113">
        <v>1633.1143779019844</v>
      </c>
      <c r="D79" s="85">
        <v>5.8999999999999997E-2</v>
      </c>
      <c r="E79" s="109">
        <v>4136.88</v>
      </c>
      <c r="F79" s="109">
        <v>600000</v>
      </c>
      <c r="G79" s="85">
        <v>300</v>
      </c>
      <c r="H79" s="110" t="s">
        <v>387</v>
      </c>
      <c r="I79" s="237" t="s">
        <v>394</v>
      </c>
      <c r="J79" s="237"/>
      <c r="K79" s="237"/>
      <c r="L79" s="237"/>
      <c r="M79" s="237"/>
      <c r="N79" s="238"/>
    </row>
    <row r="80" spans="2:14" x14ac:dyDescent="0.2">
      <c r="E80" s="130"/>
      <c r="G80" s="36"/>
    </row>
    <row r="81" spans="2:30" ht="21" thickBot="1" x14ac:dyDescent="0.35">
      <c r="B81" s="21" t="s">
        <v>482</v>
      </c>
    </row>
    <row r="82" spans="2:30" ht="44.25" customHeight="1" thickBot="1" x14ac:dyDescent="0.25">
      <c r="B82" s="91" t="s">
        <v>233</v>
      </c>
      <c r="C82" s="92" t="s">
        <v>20</v>
      </c>
      <c r="D82" s="92" t="s">
        <v>21</v>
      </c>
      <c r="E82" s="92" t="s">
        <v>491</v>
      </c>
      <c r="F82" s="92" t="s">
        <v>49</v>
      </c>
      <c r="G82" s="92" t="s">
        <v>22</v>
      </c>
      <c r="H82" s="92" t="s">
        <v>23</v>
      </c>
      <c r="I82" s="92" t="s">
        <v>24</v>
      </c>
      <c r="J82" s="92" t="s">
        <v>25</v>
      </c>
      <c r="K82" s="92" t="s">
        <v>111</v>
      </c>
      <c r="L82" s="92" t="s">
        <v>26</v>
      </c>
      <c r="M82" s="92" t="s">
        <v>27</v>
      </c>
      <c r="N82" s="92" t="s">
        <v>50</v>
      </c>
      <c r="O82" s="92" t="s">
        <v>51</v>
      </c>
      <c r="P82" s="92" t="s">
        <v>18</v>
      </c>
      <c r="Q82" s="92" t="s">
        <v>52</v>
      </c>
      <c r="R82" s="92" t="s">
        <v>53</v>
      </c>
      <c r="S82" s="92" t="s">
        <v>54</v>
      </c>
      <c r="T82" s="92" t="s">
        <v>28</v>
      </c>
      <c r="U82" s="92"/>
      <c r="V82" s="92" t="s">
        <v>496</v>
      </c>
      <c r="W82" s="92" t="s">
        <v>29</v>
      </c>
      <c r="X82" s="92" t="s">
        <v>30</v>
      </c>
      <c r="Y82" s="92" t="s">
        <v>31</v>
      </c>
      <c r="Z82" s="92" t="s">
        <v>19</v>
      </c>
      <c r="AA82" s="92" t="s">
        <v>32</v>
      </c>
      <c r="AB82" s="92" t="s">
        <v>234</v>
      </c>
      <c r="AC82" s="93" t="s">
        <v>235</v>
      </c>
      <c r="AD82" s="35"/>
    </row>
    <row r="83" spans="2:30" ht="15" customHeight="1" x14ac:dyDescent="0.2">
      <c r="B83" s="114" t="s">
        <v>334</v>
      </c>
      <c r="C83" s="115"/>
      <c r="D83" s="98" t="s">
        <v>372</v>
      </c>
      <c r="E83" s="220">
        <v>1600</v>
      </c>
      <c r="F83" s="117">
        <v>500</v>
      </c>
      <c r="G83" s="116"/>
      <c r="H83" s="116"/>
      <c r="I83" s="116">
        <v>18000</v>
      </c>
      <c r="J83" s="116">
        <v>18000</v>
      </c>
      <c r="K83" s="116"/>
      <c r="L83" s="98">
        <v>1500</v>
      </c>
      <c r="M83" s="116"/>
      <c r="N83" s="117"/>
      <c r="O83" s="117"/>
      <c r="P83" s="116"/>
      <c r="Q83" s="116"/>
      <c r="R83" s="116"/>
      <c r="S83" s="117"/>
      <c r="T83" s="116"/>
      <c r="U83" s="116"/>
      <c r="V83" s="116"/>
      <c r="W83" s="116"/>
      <c r="X83" s="116"/>
      <c r="Y83" s="116"/>
      <c r="Z83" s="116"/>
      <c r="AA83" s="116"/>
      <c r="AB83" s="116"/>
      <c r="AC83" s="118"/>
      <c r="AD83" s="38"/>
    </row>
    <row r="84" spans="2:30" x14ac:dyDescent="0.2">
      <c r="B84" s="45" t="s">
        <v>227</v>
      </c>
      <c r="C84" s="46" t="s">
        <v>112</v>
      </c>
      <c r="D84" s="89" t="s">
        <v>113</v>
      </c>
      <c r="E84" s="46">
        <v>1004</v>
      </c>
      <c r="F84" s="46">
        <v>0.33</v>
      </c>
      <c r="G84" s="46">
        <v>8.25</v>
      </c>
      <c r="H84" s="47">
        <v>0.88960000000000017</v>
      </c>
      <c r="I84" s="46">
        <v>2894.9885714285715</v>
      </c>
      <c r="J84" s="46">
        <v>482.49809523809523</v>
      </c>
      <c r="K84" s="46">
        <v>215</v>
      </c>
      <c r="L84" s="89">
        <v>180</v>
      </c>
      <c r="M84" s="47">
        <v>9</v>
      </c>
      <c r="N84" s="47"/>
      <c r="O84" s="47"/>
      <c r="P84" s="47"/>
      <c r="Q84" s="47"/>
      <c r="R84" s="47"/>
      <c r="S84" s="46"/>
      <c r="T84" s="46">
        <v>5</v>
      </c>
      <c r="U84" s="46"/>
      <c r="V84" s="46">
        <v>90000</v>
      </c>
      <c r="W84" s="46">
        <v>745864</v>
      </c>
      <c r="X84" s="46">
        <v>2.54</v>
      </c>
      <c r="Y84" s="46">
        <v>17.350000000000001</v>
      </c>
      <c r="Z84" s="46" t="s">
        <v>114</v>
      </c>
      <c r="AA84" s="46" t="s">
        <v>107</v>
      </c>
      <c r="AB84" s="142">
        <v>325</v>
      </c>
      <c r="AC84" s="119">
        <v>100</v>
      </c>
      <c r="AD84" s="38">
        <v>4124.25</v>
      </c>
    </row>
    <row r="85" spans="2:30" x14ac:dyDescent="0.2">
      <c r="B85" s="48" t="s">
        <v>227</v>
      </c>
      <c r="C85" s="49" t="s">
        <v>115</v>
      </c>
      <c r="D85" s="90" t="s">
        <v>116</v>
      </c>
      <c r="E85" s="46">
        <v>1004</v>
      </c>
      <c r="F85" s="50">
        <v>0.33106575963718821</v>
      </c>
      <c r="G85" s="49">
        <v>8.25</v>
      </c>
      <c r="H85" s="57">
        <v>2.2240000000000002</v>
      </c>
      <c r="I85" s="51">
        <v>2550.3470748299319</v>
      </c>
      <c r="J85" s="51">
        <v>413.56979591836739</v>
      </c>
      <c r="K85" s="49">
        <v>220</v>
      </c>
      <c r="L85" s="90">
        <v>180</v>
      </c>
      <c r="M85" s="52">
        <v>9</v>
      </c>
      <c r="N85" s="52"/>
      <c r="O85" s="52"/>
      <c r="P85" s="52"/>
      <c r="Q85" s="52"/>
      <c r="R85" s="52"/>
      <c r="S85" s="53"/>
      <c r="T85" s="49">
        <v>5</v>
      </c>
      <c r="U85" s="49"/>
      <c r="V85" s="54">
        <v>260208.00000000003</v>
      </c>
      <c r="W85" s="54">
        <v>420000</v>
      </c>
      <c r="X85" s="53">
        <v>3.81</v>
      </c>
      <c r="Y85" s="53">
        <v>16.865600000000001</v>
      </c>
      <c r="Z85" s="49" t="s">
        <v>117</v>
      </c>
      <c r="AA85" s="49" t="s">
        <v>107</v>
      </c>
      <c r="AB85" s="142">
        <v>325</v>
      </c>
      <c r="AC85" s="119">
        <v>100</v>
      </c>
      <c r="AD85" s="38">
        <v>28432.5795</v>
      </c>
    </row>
    <row r="86" spans="2:30" x14ac:dyDescent="0.2">
      <c r="B86" s="48" t="s">
        <v>227</v>
      </c>
      <c r="C86" s="49" t="s">
        <v>118</v>
      </c>
      <c r="D86" s="90" t="s">
        <v>119</v>
      </c>
      <c r="E86" s="46">
        <v>1004</v>
      </c>
      <c r="F86" s="50">
        <v>0.33106575963718821</v>
      </c>
      <c r="G86" s="49">
        <v>8.25</v>
      </c>
      <c r="H86" s="57">
        <v>4.4480000000000004</v>
      </c>
      <c r="I86" s="51">
        <v>2757.1319727891159</v>
      </c>
      <c r="J86" s="51">
        <v>551.42639455782319</v>
      </c>
      <c r="K86" s="49">
        <v>225</v>
      </c>
      <c r="L86" s="90">
        <v>180</v>
      </c>
      <c r="M86" s="52">
        <v>9</v>
      </c>
      <c r="N86" s="52"/>
      <c r="O86" s="52"/>
      <c r="P86" s="52"/>
      <c r="Q86" s="52"/>
      <c r="R86" s="52"/>
      <c r="S86" s="53"/>
      <c r="T86" s="49">
        <v>5</v>
      </c>
      <c r="U86" s="49"/>
      <c r="V86" s="54">
        <v>260208.00000000003</v>
      </c>
      <c r="W86" s="54">
        <v>420000</v>
      </c>
      <c r="X86" s="53">
        <v>3.81</v>
      </c>
      <c r="Y86" s="53">
        <v>16.865600000000001</v>
      </c>
      <c r="Z86" s="49" t="s">
        <v>120</v>
      </c>
      <c r="AA86" s="49" t="s">
        <v>107</v>
      </c>
      <c r="AB86" s="142">
        <v>325</v>
      </c>
      <c r="AC86" s="119">
        <v>100</v>
      </c>
      <c r="AD86" s="38"/>
    </row>
    <row r="87" spans="2:30" x14ac:dyDescent="0.2">
      <c r="B87" s="48" t="s">
        <v>227</v>
      </c>
      <c r="C87" s="49" t="s">
        <v>121</v>
      </c>
      <c r="D87" s="90" t="s">
        <v>122</v>
      </c>
      <c r="E87" s="46">
        <v>1004</v>
      </c>
      <c r="F87" s="50">
        <v>0.68027210884353739</v>
      </c>
      <c r="G87" s="49">
        <v>25.3</v>
      </c>
      <c r="H87" s="57">
        <v>22.240000000000002</v>
      </c>
      <c r="I87" s="51">
        <v>2757.1319727891159</v>
      </c>
      <c r="J87" s="51">
        <v>344.64149659863949</v>
      </c>
      <c r="K87" s="49">
        <v>220</v>
      </c>
      <c r="L87" s="90">
        <v>180</v>
      </c>
      <c r="M87" s="52">
        <v>9</v>
      </c>
      <c r="N87" s="52"/>
      <c r="O87" s="52"/>
      <c r="P87" s="52"/>
      <c r="Q87" s="52"/>
      <c r="R87" s="52"/>
      <c r="S87" s="53"/>
      <c r="T87" s="49">
        <v>5</v>
      </c>
      <c r="U87" s="49"/>
      <c r="V87" s="54">
        <v>459349.40800000005</v>
      </c>
      <c r="W87" s="54">
        <v>609</v>
      </c>
      <c r="X87" s="53">
        <v>6.6040000000000001</v>
      </c>
      <c r="Y87" s="53">
        <v>18.313400000000001</v>
      </c>
      <c r="Z87" s="49" t="s">
        <v>123</v>
      </c>
      <c r="AA87" s="49" t="s">
        <v>107</v>
      </c>
      <c r="AB87" s="142">
        <v>325</v>
      </c>
      <c r="AC87" s="119">
        <v>100</v>
      </c>
      <c r="AD87" s="38"/>
    </row>
    <row r="88" spans="2:30" x14ac:dyDescent="0.2">
      <c r="B88" s="48" t="s">
        <v>227</v>
      </c>
      <c r="C88" s="49" t="s">
        <v>124</v>
      </c>
      <c r="D88" s="90" t="s">
        <v>125</v>
      </c>
      <c r="E88" s="46">
        <v>1004</v>
      </c>
      <c r="F88" s="50">
        <v>0.51700680272108834</v>
      </c>
      <c r="G88" s="49">
        <v>25.3</v>
      </c>
      <c r="H88" s="57">
        <v>22.240000000000002</v>
      </c>
      <c r="I88" s="51">
        <v>2412.4904761904763</v>
      </c>
      <c r="J88" s="51">
        <v>689.28299319727898</v>
      </c>
      <c r="K88" s="49">
        <v>230</v>
      </c>
      <c r="L88" s="90">
        <v>180</v>
      </c>
      <c r="M88" s="49">
        <v>9</v>
      </c>
      <c r="N88" s="52"/>
      <c r="O88" s="52"/>
      <c r="P88" s="52"/>
      <c r="Q88" s="52"/>
      <c r="R88" s="52"/>
      <c r="S88" s="53"/>
      <c r="T88" s="49">
        <v>5</v>
      </c>
      <c r="U88" s="49"/>
      <c r="V88" s="54">
        <v>124739.71200000001</v>
      </c>
      <c r="W88" s="54">
        <v>12405</v>
      </c>
      <c r="X88" s="53">
        <v>3.4290000000000003</v>
      </c>
      <c r="Y88" s="53">
        <v>18.161000000000001</v>
      </c>
      <c r="Z88" s="49" t="s">
        <v>126</v>
      </c>
      <c r="AA88" s="49" t="s">
        <v>107</v>
      </c>
      <c r="AB88" s="142">
        <v>325</v>
      </c>
      <c r="AC88" s="119">
        <v>100</v>
      </c>
      <c r="AD88" s="38"/>
    </row>
    <row r="89" spans="2:30" x14ac:dyDescent="0.2">
      <c r="B89" s="48" t="s">
        <v>227</v>
      </c>
      <c r="C89" s="49" t="s">
        <v>127</v>
      </c>
      <c r="D89" s="90" t="s">
        <v>128</v>
      </c>
      <c r="E89" s="46">
        <v>1004</v>
      </c>
      <c r="F89" s="50">
        <v>0.40816326530612246</v>
      </c>
      <c r="G89" s="49">
        <v>43</v>
      </c>
      <c r="H89" s="57">
        <v>88.960000000000008</v>
      </c>
      <c r="I89" s="51">
        <v>2446.9546258503406</v>
      </c>
      <c r="J89" s="51">
        <v>723.74714285714288</v>
      </c>
      <c r="K89" s="49">
        <v>225</v>
      </c>
      <c r="L89" s="90">
        <v>180</v>
      </c>
      <c r="M89" s="49">
        <v>9</v>
      </c>
      <c r="N89" s="52"/>
      <c r="O89" s="52"/>
      <c r="P89" s="52"/>
      <c r="Q89" s="52"/>
      <c r="R89" s="52"/>
      <c r="S89" s="53"/>
      <c r="T89" s="52">
        <v>60</v>
      </c>
      <c r="U89" s="52"/>
      <c r="V89" s="58">
        <v>36869.472000000002</v>
      </c>
      <c r="W89" s="58">
        <v>1911</v>
      </c>
      <c r="X89" s="53">
        <v>3.4290000000000003</v>
      </c>
      <c r="Y89" s="53">
        <v>12.7</v>
      </c>
      <c r="Z89" s="49" t="s">
        <v>129</v>
      </c>
      <c r="AA89" s="49" t="s">
        <v>107</v>
      </c>
      <c r="AB89" s="142">
        <v>325</v>
      </c>
      <c r="AC89" s="119">
        <v>100</v>
      </c>
      <c r="AD89" s="38"/>
    </row>
    <row r="90" spans="2:30" x14ac:dyDescent="0.2">
      <c r="B90" s="48" t="s">
        <v>227</v>
      </c>
      <c r="C90" s="49" t="s">
        <v>130</v>
      </c>
      <c r="D90" s="90" t="s">
        <v>131</v>
      </c>
      <c r="E90" s="46">
        <v>1004</v>
      </c>
      <c r="F90" s="50">
        <v>0.91609977324263037</v>
      </c>
      <c r="G90" s="49">
        <v>36.299999999999997</v>
      </c>
      <c r="H90" s="57">
        <v>133.44</v>
      </c>
      <c r="I90" s="51">
        <v>3274.0942176870749</v>
      </c>
      <c r="J90" s="51">
        <v>1033.9244897959184</v>
      </c>
      <c r="K90" s="49">
        <v>225</v>
      </c>
      <c r="L90" s="90">
        <v>180</v>
      </c>
      <c r="M90" s="49">
        <v>9</v>
      </c>
      <c r="N90" s="52"/>
      <c r="O90" s="52"/>
      <c r="P90" s="52"/>
      <c r="Q90" s="52"/>
      <c r="R90" s="52"/>
      <c r="S90" s="53"/>
      <c r="T90" s="52">
        <v>60</v>
      </c>
      <c r="U90" s="52"/>
      <c r="V90" s="58">
        <v>332332.32</v>
      </c>
      <c r="W90" s="58">
        <v>5344</v>
      </c>
      <c r="X90" s="53">
        <v>12.7</v>
      </c>
      <c r="Y90" s="53">
        <v>20.32</v>
      </c>
      <c r="Z90" s="49" t="s">
        <v>132</v>
      </c>
      <c r="AA90" s="49" t="s">
        <v>107</v>
      </c>
      <c r="AB90" s="142">
        <v>325</v>
      </c>
      <c r="AC90" s="119">
        <v>100</v>
      </c>
      <c r="AD90" s="38"/>
    </row>
    <row r="91" spans="2:30" x14ac:dyDescent="0.2">
      <c r="B91" s="48" t="s">
        <v>227</v>
      </c>
      <c r="C91" s="49" t="s">
        <v>133</v>
      </c>
      <c r="D91" s="90" t="s">
        <v>134</v>
      </c>
      <c r="E91" s="46">
        <v>1004</v>
      </c>
      <c r="F91" s="50">
        <v>0.88435374149659862</v>
      </c>
      <c r="G91" s="49">
        <v>50</v>
      </c>
      <c r="H91" s="57">
        <v>177.92000000000002</v>
      </c>
      <c r="I91" s="51">
        <v>3101.7734693877555</v>
      </c>
      <c r="J91" s="51">
        <v>689.28299319727898</v>
      </c>
      <c r="K91" s="49">
        <v>220</v>
      </c>
      <c r="L91" s="90">
        <v>180</v>
      </c>
      <c r="M91" s="49">
        <v>9</v>
      </c>
      <c r="N91" s="52"/>
      <c r="O91" s="52"/>
      <c r="P91" s="52"/>
      <c r="Q91" s="52"/>
      <c r="R91" s="52"/>
      <c r="S91" s="53"/>
      <c r="T91" s="52">
        <v>60</v>
      </c>
      <c r="U91" s="52"/>
      <c r="V91" s="58">
        <v>19028.544000000002</v>
      </c>
      <c r="W91" s="58">
        <v>3890</v>
      </c>
      <c r="X91" s="53">
        <v>7.4676</v>
      </c>
      <c r="Y91" s="53">
        <v>18.745200000000001</v>
      </c>
      <c r="Z91" s="49" t="s">
        <v>135</v>
      </c>
      <c r="AA91" s="49" t="s">
        <v>107</v>
      </c>
      <c r="AB91" s="142">
        <v>325</v>
      </c>
      <c r="AC91" s="119">
        <v>100</v>
      </c>
      <c r="AD91" s="38"/>
    </row>
    <row r="92" spans="2:30" x14ac:dyDescent="0.2">
      <c r="B92" s="48" t="s">
        <v>227</v>
      </c>
      <c r="C92" s="49" t="s">
        <v>136</v>
      </c>
      <c r="D92" s="90" t="s">
        <v>137</v>
      </c>
      <c r="E92" s="46">
        <v>1004</v>
      </c>
      <c r="F92" s="50">
        <v>0.90702947845804982</v>
      </c>
      <c r="G92" s="49">
        <v>37</v>
      </c>
      <c r="H92" s="57">
        <v>222.40000000000003</v>
      </c>
      <c r="I92" s="51">
        <v>2963.9168707483</v>
      </c>
      <c r="J92" s="51">
        <v>585.89054421768719</v>
      </c>
      <c r="K92" s="49">
        <v>225</v>
      </c>
      <c r="L92" s="90">
        <v>180</v>
      </c>
      <c r="M92" s="49">
        <v>9</v>
      </c>
      <c r="N92" s="52"/>
      <c r="O92" s="52"/>
      <c r="P92" s="52"/>
      <c r="Q92" s="52"/>
      <c r="R92" s="52"/>
      <c r="S92" s="53"/>
      <c r="T92" s="52">
        <v>60</v>
      </c>
      <c r="U92" s="52"/>
      <c r="V92" s="58">
        <v>426354.14400000003</v>
      </c>
      <c r="W92" s="58">
        <v>26624</v>
      </c>
      <c r="X92" s="53">
        <v>13.97</v>
      </c>
      <c r="Y92" s="53">
        <v>20.32</v>
      </c>
      <c r="Z92" s="49" t="s">
        <v>138</v>
      </c>
      <c r="AA92" s="49" t="s">
        <v>107</v>
      </c>
      <c r="AB92" s="142">
        <v>325</v>
      </c>
      <c r="AC92" s="119">
        <v>100</v>
      </c>
      <c r="AD92" s="38"/>
    </row>
    <row r="93" spans="2:30" x14ac:dyDescent="0.2">
      <c r="B93" s="48" t="s">
        <v>227</v>
      </c>
      <c r="C93" s="49" t="s">
        <v>139</v>
      </c>
      <c r="D93" s="90" t="s">
        <v>140</v>
      </c>
      <c r="E93" s="46">
        <v>1004</v>
      </c>
      <c r="F93" s="50">
        <v>0.74376417233560088</v>
      </c>
      <c r="G93" s="49">
        <v>46</v>
      </c>
      <c r="H93" s="57">
        <v>266.88</v>
      </c>
      <c r="I93" s="51">
        <v>2777.8104625850342</v>
      </c>
      <c r="J93" s="51">
        <v>820.24676190476191</v>
      </c>
      <c r="K93" s="49">
        <v>230</v>
      </c>
      <c r="L93" s="90">
        <v>180</v>
      </c>
      <c r="M93" s="49">
        <v>9</v>
      </c>
      <c r="N93" s="52"/>
      <c r="O93" s="52"/>
      <c r="P93" s="52"/>
      <c r="Q93" s="52"/>
      <c r="R93" s="52"/>
      <c r="S93" s="53"/>
      <c r="T93" s="52">
        <v>60</v>
      </c>
      <c r="U93" s="52"/>
      <c r="V93" s="58">
        <v>68485.856</v>
      </c>
      <c r="W93" s="58">
        <v>1485</v>
      </c>
      <c r="X93" s="53">
        <v>6.6040000000000001</v>
      </c>
      <c r="Y93" s="53">
        <v>21.336000000000002</v>
      </c>
      <c r="Z93" s="49" t="s">
        <v>141</v>
      </c>
      <c r="AA93" s="49" t="s">
        <v>107</v>
      </c>
      <c r="AB93" s="142">
        <v>325</v>
      </c>
      <c r="AC93" s="119">
        <v>100</v>
      </c>
      <c r="AD93" s="38"/>
    </row>
    <row r="94" spans="2:30" x14ac:dyDescent="0.2">
      <c r="B94" s="48" t="s">
        <v>227</v>
      </c>
      <c r="C94" s="49" t="s">
        <v>142</v>
      </c>
      <c r="D94" s="90" t="s">
        <v>143</v>
      </c>
      <c r="E94" s="46">
        <v>1004</v>
      </c>
      <c r="F94" s="50">
        <v>1.8639455782312926</v>
      </c>
      <c r="G94" s="49">
        <v>30</v>
      </c>
      <c r="H94" s="57">
        <v>444.80000000000007</v>
      </c>
      <c r="I94" s="51">
        <v>2894.9885714285715</v>
      </c>
      <c r="J94" s="51">
        <v>689.28299319727898</v>
      </c>
      <c r="K94" s="49">
        <v>230</v>
      </c>
      <c r="L94" s="90">
        <v>180</v>
      </c>
      <c r="M94" s="49">
        <v>9</v>
      </c>
      <c r="N94" s="52"/>
      <c r="O94" s="52"/>
      <c r="P94" s="52"/>
      <c r="Q94" s="52"/>
      <c r="R94" s="52"/>
      <c r="S94" s="53"/>
      <c r="T94" s="52">
        <v>60</v>
      </c>
      <c r="U94" s="52"/>
      <c r="V94" s="58">
        <v>693888.00000000012</v>
      </c>
      <c r="W94" s="58">
        <v>1742</v>
      </c>
      <c r="X94" s="53">
        <v>15.24</v>
      </c>
      <c r="Y94" s="53">
        <v>45.974000000000004</v>
      </c>
      <c r="Z94" s="49" t="s">
        <v>144</v>
      </c>
      <c r="AA94" s="49" t="s">
        <v>107</v>
      </c>
      <c r="AB94" s="142">
        <v>325</v>
      </c>
      <c r="AC94" s="119">
        <v>100</v>
      </c>
      <c r="AD94" s="38"/>
    </row>
    <row r="95" spans="2:30" x14ac:dyDescent="0.2">
      <c r="B95" s="48" t="s">
        <v>227</v>
      </c>
      <c r="C95" s="49" t="s">
        <v>145</v>
      </c>
      <c r="D95" s="90" t="s">
        <v>146</v>
      </c>
      <c r="E95" s="46">
        <v>1004</v>
      </c>
      <c r="F95" s="49">
        <v>0.33</v>
      </c>
      <c r="G95" s="49">
        <v>9</v>
      </c>
      <c r="H95" s="52">
        <v>1</v>
      </c>
      <c r="I95" s="51">
        <v>2757.1319727891159</v>
      </c>
      <c r="J95" s="51">
        <v>689.28299319727898</v>
      </c>
      <c r="K95" s="49">
        <v>232</v>
      </c>
      <c r="L95" s="90">
        <v>180</v>
      </c>
      <c r="M95" s="52">
        <v>9</v>
      </c>
      <c r="N95" s="52"/>
      <c r="O95" s="52"/>
      <c r="P95" s="52"/>
      <c r="Q95" s="52"/>
      <c r="R95" s="52"/>
      <c r="S95" s="53"/>
      <c r="T95" s="49">
        <v>5</v>
      </c>
      <c r="U95" s="49"/>
      <c r="V95" s="54">
        <v>111250</v>
      </c>
      <c r="W95" s="54">
        <v>100000</v>
      </c>
      <c r="X95" s="53">
        <v>2.5</v>
      </c>
      <c r="Y95" s="53">
        <v>13.3</v>
      </c>
      <c r="Z95" s="49" t="s">
        <v>147</v>
      </c>
      <c r="AA95" s="49" t="s">
        <v>148</v>
      </c>
      <c r="AB95" s="142">
        <v>325</v>
      </c>
      <c r="AC95" s="119">
        <v>100</v>
      </c>
      <c r="AD95" s="38"/>
    </row>
    <row r="96" spans="2:30" x14ac:dyDescent="0.2">
      <c r="B96" s="48" t="s">
        <v>227</v>
      </c>
      <c r="C96" s="49" t="s">
        <v>149</v>
      </c>
      <c r="D96" s="90" t="s">
        <v>150</v>
      </c>
      <c r="E96" s="46">
        <v>1004</v>
      </c>
      <c r="F96" s="49">
        <v>0.37</v>
      </c>
      <c r="G96" s="49">
        <v>9</v>
      </c>
      <c r="H96" s="52">
        <v>5</v>
      </c>
      <c r="I96" s="51">
        <v>2963.9168707483</v>
      </c>
      <c r="J96" s="51">
        <v>516.96224489795918</v>
      </c>
      <c r="K96" s="49">
        <v>230</v>
      </c>
      <c r="L96" s="90">
        <v>180</v>
      </c>
      <c r="M96" s="52">
        <v>9</v>
      </c>
      <c r="N96" s="52"/>
      <c r="O96" s="52"/>
      <c r="P96" s="52"/>
      <c r="Q96" s="52"/>
      <c r="R96" s="52"/>
      <c r="S96" s="53"/>
      <c r="T96" s="49">
        <v>5</v>
      </c>
      <c r="U96" s="49"/>
      <c r="V96" s="54">
        <v>311500</v>
      </c>
      <c r="W96" s="54">
        <v>1000000</v>
      </c>
      <c r="X96" s="53">
        <v>2.5</v>
      </c>
      <c r="Y96" s="53">
        <v>20.3</v>
      </c>
      <c r="Z96" s="49" t="s">
        <v>147</v>
      </c>
      <c r="AA96" s="49" t="s">
        <v>148</v>
      </c>
      <c r="AB96" s="142">
        <v>325</v>
      </c>
      <c r="AC96" s="119">
        <v>100</v>
      </c>
      <c r="AD96" s="38"/>
    </row>
    <row r="97" spans="2:30" x14ac:dyDescent="0.2">
      <c r="B97" s="48" t="s">
        <v>227</v>
      </c>
      <c r="C97" s="49" t="s">
        <v>151</v>
      </c>
      <c r="D97" s="90" t="s">
        <v>152</v>
      </c>
      <c r="E97" s="46">
        <v>1004</v>
      </c>
      <c r="F97" s="49">
        <v>0.24</v>
      </c>
      <c r="G97" s="49">
        <v>9</v>
      </c>
      <c r="H97" s="52">
        <v>22</v>
      </c>
      <c r="I97" s="51">
        <v>2757.1319727891159</v>
      </c>
      <c r="J97" s="51">
        <v>344.64149659863949</v>
      </c>
      <c r="K97" s="49">
        <v>235</v>
      </c>
      <c r="L97" s="90">
        <v>180</v>
      </c>
      <c r="M97" s="52">
        <v>9</v>
      </c>
      <c r="N97" s="52"/>
      <c r="O97" s="52"/>
      <c r="P97" s="52"/>
      <c r="Q97" s="52"/>
      <c r="R97" s="52"/>
      <c r="S97" s="53"/>
      <c r="T97" s="49">
        <v>5</v>
      </c>
      <c r="U97" s="49"/>
      <c r="V97" s="54">
        <v>501000</v>
      </c>
      <c r="W97" s="54">
        <v>60000</v>
      </c>
      <c r="X97" s="53">
        <v>3.8</v>
      </c>
      <c r="Y97" s="53">
        <v>20.3</v>
      </c>
      <c r="Z97" s="49" t="s">
        <v>147</v>
      </c>
      <c r="AA97" s="49" t="s">
        <v>148</v>
      </c>
      <c r="AB97" s="142">
        <v>325</v>
      </c>
      <c r="AC97" s="119">
        <v>100</v>
      </c>
      <c r="AD97" s="38"/>
    </row>
    <row r="98" spans="2:30" x14ac:dyDescent="0.2">
      <c r="B98" s="48" t="s">
        <v>227</v>
      </c>
      <c r="C98" s="49" t="s">
        <v>153</v>
      </c>
      <c r="D98" s="90" t="s">
        <v>154</v>
      </c>
      <c r="E98" s="46">
        <v>1004</v>
      </c>
      <c r="F98" s="49">
        <v>1</v>
      </c>
      <c r="G98" s="49">
        <v>30</v>
      </c>
      <c r="H98" s="52">
        <v>90</v>
      </c>
      <c r="I98" s="51">
        <v>3101.7734693877555</v>
      </c>
      <c r="J98" s="51">
        <v>516.96224489795918</v>
      </c>
      <c r="K98" s="49">
        <v>235</v>
      </c>
      <c r="L98" s="90">
        <v>180</v>
      </c>
      <c r="M98" s="52">
        <v>9</v>
      </c>
      <c r="N98" s="52"/>
      <c r="O98" s="52"/>
      <c r="P98" s="52"/>
      <c r="Q98" s="52"/>
      <c r="R98" s="52"/>
      <c r="S98" s="53"/>
      <c r="T98" s="49">
        <v>60</v>
      </c>
      <c r="U98" s="49"/>
      <c r="V98" s="54">
        <v>3500000</v>
      </c>
      <c r="W98" s="54"/>
      <c r="X98" s="53">
        <v>8.4</v>
      </c>
      <c r="Y98" s="53">
        <v>30.4</v>
      </c>
      <c r="Z98" s="49" t="s">
        <v>155</v>
      </c>
      <c r="AA98" s="49" t="s">
        <v>148</v>
      </c>
      <c r="AB98" s="142">
        <v>325</v>
      </c>
      <c r="AC98" s="119">
        <v>100</v>
      </c>
      <c r="AD98" s="38"/>
    </row>
    <row r="99" spans="2:30" x14ac:dyDescent="0.2">
      <c r="B99" s="48" t="s">
        <v>227</v>
      </c>
      <c r="C99" s="49" t="s">
        <v>156</v>
      </c>
      <c r="D99" s="90" t="s">
        <v>157</v>
      </c>
      <c r="E99" s="46">
        <v>1004</v>
      </c>
      <c r="F99" s="49">
        <v>1.6</v>
      </c>
      <c r="G99" s="49">
        <v>30</v>
      </c>
      <c r="H99" s="52">
        <v>445</v>
      </c>
      <c r="I99" s="51">
        <v>3101.7734693877555</v>
      </c>
      <c r="J99" s="51">
        <v>516.96224489795918</v>
      </c>
      <c r="K99" s="49">
        <v>235</v>
      </c>
      <c r="L99" s="90">
        <v>180</v>
      </c>
      <c r="M99" s="52">
        <v>9</v>
      </c>
      <c r="N99" s="52"/>
      <c r="O99" s="52"/>
      <c r="P99" s="52"/>
      <c r="Q99" s="52"/>
      <c r="R99" s="52"/>
      <c r="S99" s="53"/>
      <c r="T99" s="49">
        <v>60</v>
      </c>
      <c r="U99" s="49"/>
      <c r="V99" s="54">
        <v>5600000</v>
      </c>
      <c r="W99" s="54"/>
      <c r="X99" s="53">
        <v>14.8</v>
      </c>
      <c r="Y99" s="53">
        <v>41</v>
      </c>
      <c r="Z99" s="49" t="s">
        <v>158</v>
      </c>
      <c r="AA99" s="49" t="s">
        <v>148</v>
      </c>
      <c r="AB99" s="142">
        <v>325</v>
      </c>
      <c r="AC99" s="119">
        <v>100</v>
      </c>
      <c r="AD99" s="38"/>
    </row>
    <row r="100" spans="2:30" x14ac:dyDescent="0.2">
      <c r="B100" s="48" t="s">
        <v>227</v>
      </c>
      <c r="C100" s="49" t="s">
        <v>159</v>
      </c>
      <c r="D100" s="90" t="s">
        <v>160</v>
      </c>
      <c r="E100" s="46">
        <v>1004</v>
      </c>
      <c r="F100" s="50">
        <v>0.49886621315192747</v>
      </c>
      <c r="G100" s="49">
        <v>15</v>
      </c>
      <c r="H100" s="52">
        <v>0.8</v>
      </c>
      <c r="I100" s="51">
        <v>2412.4904761904763</v>
      </c>
      <c r="J100" s="51">
        <v>689.28299319727898</v>
      </c>
      <c r="K100" s="49">
        <v>216</v>
      </c>
      <c r="L100" s="90">
        <v>180</v>
      </c>
      <c r="M100" s="52">
        <v>9</v>
      </c>
      <c r="N100" s="52"/>
      <c r="O100" s="52"/>
      <c r="P100" s="52"/>
      <c r="Q100" s="52"/>
      <c r="R100" s="52"/>
      <c r="S100" s="53"/>
      <c r="T100" s="49">
        <v>60</v>
      </c>
      <c r="U100" s="49"/>
      <c r="V100" s="54"/>
      <c r="W100" s="54"/>
      <c r="X100" s="53">
        <v>11.4</v>
      </c>
      <c r="Y100" s="53">
        <v>17.5</v>
      </c>
      <c r="Z100" s="49"/>
      <c r="AA100" s="49" t="s">
        <v>161</v>
      </c>
      <c r="AB100" s="142">
        <v>325</v>
      </c>
      <c r="AC100" s="119">
        <v>100</v>
      </c>
      <c r="AD100" s="38"/>
    </row>
    <row r="101" spans="2:30" x14ac:dyDescent="0.2">
      <c r="B101" s="48" t="s">
        <v>227</v>
      </c>
      <c r="C101" s="49" t="s">
        <v>162</v>
      </c>
      <c r="D101" s="90" t="s">
        <v>163</v>
      </c>
      <c r="E101" s="46">
        <v>1004</v>
      </c>
      <c r="F101" s="50">
        <v>0.54421768707482987</v>
      </c>
      <c r="G101" s="49">
        <v>15</v>
      </c>
      <c r="H101" s="52">
        <v>3.4</v>
      </c>
      <c r="I101" s="51">
        <v>3894.4489115646261</v>
      </c>
      <c r="J101" s="51">
        <v>551.42639455782319</v>
      </c>
      <c r="K101" s="49">
        <v>218</v>
      </c>
      <c r="L101" s="90">
        <v>180</v>
      </c>
      <c r="M101" s="52">
        <v>9</v>
      </c>
      <c r="N101" s="52"/>
      <c r="O101" s="52"/>
      <c r="P101" s="52"/>
      <c r="Q101" s="52"/>
      <c r="R101" s="52"/>
      <c r="S101" s="53"/>
      <c r="T101" s="49">
        <v>60</v>
      </c>
      <c r="U101" s="49"/>
      <c r="V101" s="54">
        <v>511520.00000000006</v>
      </c>
      <c r="W101" s="54">
        <v>450000</v>
      </c>
      <c r="X101" s="53">
        <v>14.5</v>
      </c>
      <c r="Y101" s="53">
        <v>18.8</v>
      </c>
      <c r="Z101" s="49" t="s">
        <v>164</v>
      </c>
      <c r="AA101" s="49" t="s">
        <v>165</v>
      </c>
      <c r="AB101" s="142">
        <v>325</v>
      </c>
      <c r="AC101" s="119">
        <v>100</v>
      </c>
      <c r="AD101" s="38"/>
    </row>
    <row r="102" spans="2:30" x14ac:dyDescent="0.2">
      <c r="B102" s="48" t="s">
        <v>227</v>
      </c>
      <c r="C102" s="49" t="s">
        <v>166</v>
      </c>
      <c r="D102" s="90" t="s">
        <v>167</v>
      </c>
      <c r="E102" s="46">
        <v>1004</v>
      </c>
      <c r="F102" s="50">
        <v>0.49886621315192747</v>
      </c>
      <c r="G102" s="49">
        <v>30</v>
      </c>
      <c r="H102" s="52">
        <v>9.8000000000000007</v>
      </c>
      <c r="I102" s="51">
        <v>4135.6979591836734</v>
      </c>
      <c r="J102" s="51">
        <v>689.28299319727898</v>
      </c>
      <c r="K102" s="49">
        <v>217</v>
      </c>
      <c r="L102" s="90">
        <v>180</v>
      </c>
      <c r="M102" s="52">
        <v>9</v>
      </c>
      <c r="N102" s="52"/>
      <c r="O102" s="52"/>
      <c r="P102" s="52"/>
      <c r="Q102" s="52"/>
      <c r="R102" s="52"/>
      <c r="S102" s="53"/>
      <c r="T102" s="49">
        <v>60</v>
      </c>
      <c r="U102" s="49"/>
      <c r="V102" s="54"/>
      <c r="W102" s="54"/>
      <c r="X102" s="53">
        <v>6.1</v>
      </c>
      <c r="Y102" s="53">
        <v>20.6</v>
      </c>
      <c r="Z102" s="49"/>
      <c r="AA102" s="49" t="s">
        <v>161</v>
      </c>
      <c r="AB102" s="142">
        <v>325</v>
      </c>
      <c r="AC102" s="119">
        <v>100</v>
      </c>
      <c r="AD102" s="38"/>
    </row>
    <row r="103" spans="2:30" x14ac:dyDescent="0.2">
      <c r="B103" s="48" t="s">
        <v>227</v>
      </c>
      <c r="C103" s="49" t="s">
        <v>168</v>
      </c>
      <c r="D103" s="90" t="s">
        <v>169</v>
      </c>
      <c r="E103" s="46">
        <v>1004</v>
      </c>
      <c r="F103" s="50">
        <v>0.7256235827664399</v>
      </c>
      <c r="G103" s="49">
        <v>30</v>
      </c>
      <c r="H103" s="52">
        <v>28</v>
      </c>
      <c r="I103" s="51">
        <v>2757.1319727891159</v>
      </c>
      <c r="J103" s="51">
        <v>344.64149659863949</v>
      </c>
      <c r="K103" s="49">
        <v>232</v>
      </c>
      <c r="L103" s="90">
        <v>180</v>
      </c>
      <c r="M103" s="52">
        <v>9</v>
      </c>
      <c r="N103" s="52"/>
      <c r="O103" s="52"/>
      <c r="P103" s="52"/>
      <c r="Q103" s="52"/>
      <c r="R103" s="52"/>
      <c r="S103" s="53"/>
      <c r="T103" s="49">
        <v>60</v>
      </c>
      <c r="U103" s="49"/>
      <c r="V103" s="54"/>
      <c r="W103" s="54"/>
      <c r="X103" s="53">
        <v>14.5</v>
      </c>
      <c r="Y103" s="53">
        <v>26.4</v>
      </c>
      <c r="Z103" s="49"/>
      <c r="AA103" s="49" t="s">
        <v>161</v>
      </c>
      <c r="AB103" s="142">
        <v>325</v>
      </c>
      <c r="AC103" s="119">
        <v>100</v>
      </c>
      <c r="AD103" s="38"/>
    </row>
    <row r="104" spans="2:30" x14ac:dyDescent="0.2">
      <c r="B104" s="48" t="s">
        <v>227</v>
      </c>
      <c r="C104" s="49" t="s">
        <v>170</v>
      </c>
      <c r="D104" s="90" t="s">
        <v>171</v>
      </c>
      <c r="E104" s="46">
        <v>1004</v>
      </c>
      <c r="F104" s="50">
        <v>0.49886621315192747</v>
      </c>
      <c r="G104" s="49">
        <v>72</v>
      </c>
      <c r="H104" s="52">
        <v>66</v>
      </c>
      <c r="I104" s="51">
        <v>2757.1319727891159</v>
      </c>
      <c r="J104" s="51">
        <v>1378.565986394558</v>
      </c>
      <c r="K104" s="49">
        <v>228</v>
      </c>
      <c r="L104" s="90">
        <v>180</v>
      </c>
      <c r="M104" s="52">
        <v>9</v>
      </c>
      <c r="N104" s="52"/>
      <c r="O104" s="52"/>
      <c r="P104" s="52"/>
      <c r="Q104" s="52"/>
      <c r="R104" s="52"/>
      <c r="S104" s="53"/>
      <c r="T104" s="49">
        <v>60</v>
      </c>
      <c r="U104" s="49"/>
      <c r="V104" s="54"/>
      <c r="W104" s="54"/>
      <c r="X104" s="53">
        <v>11.9</v>
      </c>
      <c r="Y104" s="53">
        <v>31.8</v>
      </c>
      <c r="Z104" s="49"/>
      <c r="AA104" s="49" t="s">
        <v>161</v>
      </c>
      <c r="AB104" s="142">
        <v>325</v>
      </c>
      <c r="AC104" s="119">
        <v>100</v>
      </c>
      <c r="AD104" s="38"/>
    </row>
    <row r="105" spans="2:30" x14ac:dyDescent="0.2">
      <c r="B105" s="55" t="s">
        <v>228</v>
      </c>
      <c r="C105" s="49" t="s">
        <v>172</v>
      </c>
      <c r="D105" s="90" t="s">
        <v>173</v>
      </c>
      <c r="E105" s="49">
        <v>1227</v>
      </c>
      <c r="F105" s="50">
        <v>4.0999999999999996</v>
      </c>
      <c r="G105" s="49">
        <v>38</v>
      </c>
      <c r="H105" s="51">
        <v>644.96</v>
      </c>
      <c r="I105" s="56">
        <v>1960</v>
      </c>
      <c r="J105" s="56">
        <v>1430</v>
      </c>
      <c r="K105" s="49">
        <v>318</v>
      </c>
      <c r="L105" s="99">
        <v>250</v>
      </c>
      <c r="M105" s="52">
        <v>9</v>
      </c>
      <c r="N105" s="52"/>
      <c r="O105" s="52"/>
      <c r="P105" s="52"/>
      <c r="Q105" s="52"/>
      <c r="R105" s="52"/>
      <c r="S105" s="57"/>
      <c r="T105" s="52">
        <v>60</v>
      </c>
      <c r="U105" s="52"/>
      <c r="V105" s="58">
        <v>12900000</v>
      </c>
      <c r="W105" s="58"/>
      <c r="X105" s="57">
        <v>28.9</v>
      </c>
      <c r="Y105" s="57">
        <v>64.7</v>
      </c>
      <c r="Z105" s="52" t="s">
        <v>158</v>
      </c>
      <c r="AA105" s="52" t="s">
        <v>174</v>
      </c>
      <c r="AB105" s="71">
        <v>400</v>
      </c>
      <c r="AC105" s="77">
        <v>140</v>
      </c>
      <c r="AD105" s="38"/>
    </row>
    <row r="106" spans="2:30" x14ac:dyDescent="0.2">
      <c r="B106" s="55" t="s">
        <v>228</v>
      </c>
      <c r="C106" s="49" t="s">
        <v>175</v>
      </c>
      <c r="D106" s="90" t="s">
        <v>176</v>
      </c>
      <c r="E106" s="49">
        <v>1227</v>
      </c>
      <c r="F106" s="50">
        <v>4</v>
      </c>
      <c r="G106" s="52">
        <v>38</v>
      </c>
      <c r="H106" s="51">
        <v>458</v>
      </c>
      <c r="I106" s="56">
        <v>2070</v>
      </c>
      <c r="J106" s="56">
        <v>1320</v>
      </c>
      <c r="K106" s="52">
        <v>325</v>
      </c>
      <c r="L106" s="99">
        <v>250</v>
      </c>
      <c r="M106" s="52">
        <v>9</v>
      </c>
      <c r="N106" s="52"/>
      <c r="O106" s="52"/>
      <c r="P106" s="52"/>
      <c r="Q106" s="52"/>
      <c r="R106" s="52"/>
      <c r="S106" s="57"/>
      <c r="T106" s="52">
        <v>60</v>
      </c>
      <c r="U106" s="52"/>
      <c r="V106" s="58">
        <v>12500000</v>
      </c>
      <c r="W106" s="58"/>
      <c r="X106" s="57">
        <v>28.9</v>
      </c>
      <c r="Y106" s="57">
        <v>63.5</v>
      </c>
      <c r="Z106" s="52" t="s">
        <v>158</v>
      </c>
      <c r="AA106" s="52" t="s">
        <v>177</v>
      </c>
      <c r="AB106" s="71">
        <v>400</v>
      </c>
      <c r="AC106" s="77">
        <v>140</v>
      </c>
      <c r="AD106" s="38"/>
    </row>
    <row r="107" spans="2:30" x14ac:dyDescent="0.2">
      <c r="B107" s="55" t="s">
        <v>228</v>
      </c>
      <c r="C107" s="49" t="s">
        <v>178</v>
      </c>
      <c r="D107" s="90" t="s">
        <v>179</v>
      </c>
      <c r="E107" s="49">
        <v>1227</v>
      </c>
      <c r="F107" s="50">
        <v>4.5</v>
      </c>
      <c r="G107" s="52">
        <v>38</v>
      </c>
      <c r="H107" s="51">
        <v>458</v>
      </c>
      <c r="I107" s="56">
        <v>2070</v>
      </c>
      <c r="J107" s="56">
        <v>1320</v>
      </c>
      <c r="K107" s="52">
        <v>330</v>
      </c>
      <c r="L107" s="99">
        <v>250</v>
      </c>
      <c r="M107" s="52">
        <v>5</v>
      </c>
      <c r="N107" s="52"/>
      <c r="O107" s="52"/>
      <c r="P107" s="52"/>
      <c r="Q107" s="52"/>
      <c r="R107" s="52"/>
      <c r="S107" s="57"/>
      <c r="T107" s="52">
        <v>60</v>
      </c>
      <c r="U107" s="52"/>
      <c r="V107" s="58"/>
      <c r="W107" s="58"/>
      <c r="X107" s="57"/>
      <c r="Y107" s="57"/>
      <c r="Z107" s="52" t="s">
        <v>180</v>
      </c>
      <c r="AA107" s="52" t="s">
        <v>177</v>
      </c>
      <c r="AB107" s="71">
        <v>400</v>
      </c>
      <c r="AC107" s="77">
        <v>140</v>
      </c>
      <c r="AD107" s="38"/>
    </row>
    <row r="108" spans="2:30" x14ac:dyDescent="0.2">
      <c r="B108" s="55" t="s">
        <v>228</v>
      </c>
      <c r="C108" s="49" t="s">
        <v>181</v>
      </c>
      <c r="D108" s="90" t="s">
        <v>182</v>
      </c>
      <c r="E108" s="49">
        <v>1227</v>
      </c>
      <c r="F108" s="50">
        <v>5.2</v>
      </c>
      <c r="G108" s="52">
        <v>46</v>
      </c>
      <c r="H108" s="51">
        <v>445</v>
      </c>
      <c r="I108" s="56">
        <v>2757.1319727891159</v>
      </c>
      <c r="J108" s="56">
        <v>689.28299319727898</v>
      </c>
      <c r="K108" s="52">
        <v>328</v>
      </c>
      <c r="L108" s="99">
        <v>250</v>
      </c>
      <c r="M108" s="52">
        <v>8</v>
      </c>
      <c r="N108" s="52"/>
      <c r="O108" s="52"/>
      <c r="P108" s="52"/>
      <c r="Q108" s="52"/>
      <c r="R108" s="52"/>
      <c r="S108" s="57"/>
      <c r="T108" s="52">
        <v>60</v>
      </c>
      <c r="U108" s="52"/>
      <c r="V108" s="58">
        <v>12450000</v>
      </c>
      <c r="W108" s="58">
        <v>500</v>
      </c>
      <c r="X108" s="57">
        <v>36.195</v>
      </c>
      <c r="Y108" s="57">
        <v>72.567800000000005</v>
      </c>
      <c r="Z108" s="52" t="s">
        <v>79</v>
      </c>
      <c r="AA108" s="52" t="s">
        <v>183</v>
      </c>
      <c r="AB108" s="71">
        <v>400</v>
      </c>
      <c r="AC108" s="77">
        <v>140</v>
      </c>
      <c r="AD108" s="38"/>
    </row>
    <row r="109" spans="2:30" x14ac:dyDescent="0.2">
      <c r="B109" s="55" t="s">
        <v>228</v>
      </c>
      <c r="C109" s="49" t="s">
        <v>184</v>
      </c>
      <c r="D109" s="90" t="s">
        <v>185</v>
      </c>
      <c r="E109" s="49">
        <v>1227</v>
      </c>
      <c r="F109" s="50">
        <v>4.7619047619047619</v>
      </c>
      <c r="G109" s="49">
        <v>38</v>
      </c>
      <c r="H109" s="51">
        <v>473.71200000000005</v>
      </c>
      <c r="I109" s="56">
        <v>1861.0640816326534</v>
      </c>
      <c r="J109" s="56">
        <v>1240.7093877551022</v>
      </c>
      <c r="K109" s="49">
        <v>322</v>
      </c>
      <c r="L109" s="99">
        <v>250</v>
      </c>
      <c r="M109" s="52">
        <v>9</v>
      </c>
      <c r="N109" s="52"/>
      <c r="O109" s="52"/>
      <c r="P109" s="52"/>
      <c r="Q109" s="52"/>
      <c r="R109" s="52"/>
      <c r="S109" s="57"/>
      <c r="T109" s="52">
        <v>60</v>
      </c>
      <c r="U109" s="52"/>
      <c r="V109" s="58">
        <v>11475840.000000002</v>
      </c>
      <c r="W109" s="58">
        <v>100</v>
      </c>
      <c r="X109" s="57">
        <v>29.972000000000001</v>
      </c>
      <c r="Y109" s="57">
        <v>70.612000000000009</v>
      </c>
      <c r="Z109" s="52" t="s">
        <v>186</v>
      </c>
      <c r="AA109" s="52" t="s">
        <v>187</v>
      </c>
      <c r="AB109" s="71">
        <v>400</v>
      </c>
      <c r="AC109" s="77">
        <v>140</v>
      </c>
      <c r="AD109" s="38"/>
    </row>
    <row r="110" spans="2:30" x14ac:dyDescent="0.2">
      <c r="B110" s="55" t="s">
        <v>265</v>
      </c>
      <c r="C110" s="49" t="s">
        <v>266</v>
      </c>
      <c r="D110" s="90" t="s">
        <v>239</v>
      </c>
      <c r="E110" s="49">
        <v>1450</v>
      </c>
      <c r="F110" s="50">
        <v>107.95</v>
      </c>
      <c r="G110" s="49"/>
      <c r="H110" s="51">
        <v>35600</v>
      </c>
      <c r="I110" s="56"/>
      <c r="J110" s="56"/>
      <c r="K110" s="49"/>
      <c r="L110" s="99"/>
      <c r="M110" s="52"/>
      <c r="N110" s="52"/>
      <c r="O110" s="52"/>
      <c r="P110" s="52"/>
      <c r="Q110" s="52"/>
      <c r="R110" s="60">
        <v>0.27777777777777779</v>
      </c>
      <c r="S110" s="57"/>
      <c r="T110" s="52"/>
      <c r="U110" s="52"/>
      <c r="V110" s="58"/>
      <c r="W110" s="58"/>
      <c r="X110" s="57"/>
      <c r="Y110" s="57"/>
      <c r="Z110" s="52" t="s">
        <v>260</v>
      </c>
      <c r="AA110" s="49" t="s">
        <v>259</v>
      </c>
      <c r="AB110" s="71">
        <v>400</v>
      </c>
      <c r="AC110" s="77">
        <v>140</v>
      </c>
      <c r="AD110" s="38"/>
    </row>
    <row r="111" spans="2:30" x14ac:dyDescent="0.2">
      <c r="B111" s="55" t="s">
        <v>267</v>
      </c>
      <c r="C111" s="49" t="s">
        <v>268</v>
      </c>
      <c r="D111" s="90" t="s">
        <v>272</v>
      </c>
      <c r="E111" s="49">
        <v>280</v>
      </c>
      <c r="F111" s="50">
        <v>138.35</v>
      </c>
      <c r="G111" s="49"/>
      <c r="H111" s="51">
        <v>73400</v>
      </c>
      <c r="I111" s="56"/>
      <c r="J111" s="56"/>
      <c r="K111" s="49"/>
      <c r="L111" s="99"/>
      <c r="M111" s="52"/>
      <c r="N111" s="52"/>
      <c r="O111" s="52"/>
      <c r="P111" s="52"/>
      <c r="Q111" s="52"/>
      <c r="R111" s="60">
        <v>0.1111111111111111</v>
      </c>
      <c r="S111" s="57"/>
      <c r="T111" s="52"/>
      <c r="U111" s="52"/>
      <c r="V111" s="58"/>
      <c r="W111" s="58"/>
      <c r="X111" s="57"/>
      <c r="Y111" s="57"/>
      <c r="Z111" s="52" t="s">
        <v>271</v>
      </c>
      <c r="AA111" s="49" t="s">
        <v>259</v>
      </c>
      <c r="AB111" s="71">
        <v>400</v>
      </c>
      <c r="AC111" s="77">
        <v>140</v>
      </c>
      <c r="AD111" s="38"/>
    </row>
    <row r="112" spans="2:30" x14ac:dyDescent="0.2">
      <c r="B112" s="55" t="s">
        <v>228</v>
      </c>
      <c r="C112" s="49" t="s">
        <v>269</v>
      </c>
      <c r="D112" s="90" t="s">
        <v>273</v>
      </c>
      <c r="E112" s="49">
        <v>1227</v>
      </c>
      <c r="F112" s="50">
        <v>4.5</v>
      </c>
      <c r="G112" s="49"/>
      <c r="H112" s="51">
        <v>445</v>
      </c>
      <c r="I112" s="56"/>
      <c r="J112" s="56"/>
      <c r="K112" s="49"/>
      <c r="L112" s="99"/>
      <c r="M112" s="52"/>
      <c r="N112" s="52"/>
      <c r="O112" s="52"/>
      <c r="P112" s="52"/>
      <c r="Q112" s="52"/>
      <c r="R112" s="60">
        <v>7.7777777777777777</v>
      </c>
      <c r="S112" s="57"/>
      <c r="T112" s="52"/>
      <c r="U112" s="52"/>
      <c r="V112" s="58"/>
      <c r="W112" s="58"/>
      <c r="X112" s="57"/>
      <c r="Y112" s="57"/>
      <c r="Z112" s="52" t="s">
        <v>497</v>
      </c>
      <c r="AA112" s="49" t="s">
        <v>259</v>
      </c>
      <c r="AB112" s="71">
        <v>400</v>
      </c>
      <c r="AC112" s="77">
        <v>140</v>
      </c>
      <c r="AD112" s="38"/>
    </row>
    <row r="113" spans="2:30" x14ac:dyDescent="0.2">
      <c r="B113" s="55" t="s">
        <v>228</v>
      </c>
      <c r="C113" s="49" t="s">
        <v>270</v>
      </c>
      <c r="D113" s="90" t="s">
        <v>274</v>
      </c>
      <c r="E113" s="49">
        <v>1227</v>
      </c>
      <c r="F113" s="50">
        <v>4.5</v>
      </c>
      <c r="G113" s="49"/>
      <c r="H113" s="51">
        <v>4250</v>
      </c>
      <c r="I113" s="56"/>
      <c r="J113" s="56"/>
      <c r="K113" s="49"/>
      <c r="L113" s="99"/>
      <c r="M113" s="52"/>
      <c r="N113" s="52"/>
      <c r="O113" s="52"/>
      <c r="P113" s="52"/>
      <c r="Q113" s="52"/>
      <c r="R113" s="60">
        <v>6.9444444444444446</v>
      </c>
      <c r="S113" s="57"/>
      <c r="T113" s="52"/>
      <c r="U113" s="52"/>
      <c r="V113" s="58"/>
      <c r="W113" s="58"/>
      <c r="X113" s="57"/>
      <c r="Y113" s="57"/>
      <c r="Z113" s="52" t="s">
        <v>158</v>
      </c>
      <c r="AA113" s="49" t="s">
        <v>259</v>
      </c>
      <c r="AB113" s="71">
        <v>400</v>
      </c>
      <c r="AC113" s="77">
        <v>140</v>
      </c>
      <c r="AD113" s="38"/>
    </row>
    <row r="114" spans="2:30" x14ac:dyDescent="0.2">
      <c r="B114" s="55" t="s">
        <v>229</v>
      </c>
      <c r="C114" s="49" t="s">
        <v>188</v>
      </c>
      <c r="D114" s="90" t="s">
        <v>189</v>
      </c>
      <c r="E114" s="49">
        <v>1168</v>
      </c>
      <c r="F114" s="50">
        <v>0.4</v>
      </c>
      <c r="G114" s="49">
        <v>14</v>
      </c>
      <c r="H114" s="52">
        <v>10</v>
      </c>
      <c r="I114" s="51">
        <v>2067.8489795918367</v>
      </c>
      <c r="J114" s="51">
        <v>689.28299319727898</v>
      </c>
      <c r="K114" s="49">
        <v>290</v>
      </c>
      <c r="L114" s="90">
        <v>220</v>
      </c>
      <c r="M114" s="52">
        <v>9</v>
      </c>
      <c r="N114" s="52"/>
      <c r="O114" s="52"/>
      <c r="P114" s="52"/>
      <c r="Q114" s="52"/>
      <c r="R114" s="52"/>
      <c r="S114" s="49"/>
      <c r="T114" s="52">
        <v>5</v>
      </c>
      <c r="U114" s="52"/>
      <c r="V114" s="54">
        <v>667000</v>
      </c>
      <c r="W114" s="54"/>
      <c r="X114" s="49">
        <v>5</v>
      </c>
      <c r="Y114" s="49">
        <v>16.5</v>
      </c>
      <c r="Z114" s="49" t="s">
        <v>190</v>
      </c>
      <c r="AA114" s="52" t="s">
        <v>76</v>
      </c>
      <c r="AB114" s="71">
        <v>400</v>
      </c>
      <c r="AC114" s="77">
        <v>140</v>
      </c>
      <c r="AD114" s="38"/>
    </row>
    <row r="115" spans="2:30" x14ac:dyDescent="0.2">
      <c r="B115" s="55" t="s">
        <v>229</v>
      </c>
      <c r="C115" s="49" t="s">
        <v>191</v>
      </c>
      <c r="D115" s="90" t="s">
        <v>192</v>
      </c>
      <c r="E115" s="49">
        <v>1168</v>
      </c>
      <c r="F115" s="50">
        <v>0.45</v>
      </c>
      <c r="G115" s="49">
        <v>14</v>
      </c>
      <c r="H115" s="52">
        <v>22</v>
      </c>
      <c r="I115" s="51">
        <v>2757.1319727891159</v>
      </c>
      <c r="J115" s="51">
        <v>689.28299319727898</v>
      </c>
      <c r="K115" s="49">
        <v>294</v>
      </c>
      <c r="L115" s="90">
        <v>220</v>
      </c>
      <c r="M115" s="52">
        <v>9</v>
      </c>
      <c r="N115" s="52"/>
      <c r="O115" s="52"/>
      <c r="P115" s="52"/>
      <c r="Q115" s="52"/>
      <c r="R115" s="52"/>
      <c r="S115" s="49"/>
      <c r="T115" s="49">
        <v>5</v>
      </c>
      <c r="U115" s="49"/>
      <c r="V115" s="54">
        <v>1335000</v>
      </c>
      <c r="W115" s="54">
        <v>300000</v>
      </c>
      <c r="X115" s="49">
        <v>5</v>
      </c>
      <c r="Y115" s="49">
        <v>21.6</v>
      </c>
      <c r="Z115" s="49" t="s">
        <v>193</v>
      </c>
      <c r="AA115" s="52" t="s">
        <v>76</v>
      </c>
      <c r="AB115" s="71">
        <v>400</v>
      </c>
      <c r="AC115" s="77">
        <v>140</v>
      </c>
      <c r="AD115" s="38"/>
    </row>
    <row r="116" spans="2:30" x14ac:dyDescent="0.2">
      <c r="B116" s="55" t="s">
        <v>229</v>
      </c>
      <c r="C116" s="49" t="s">
        <v>191</v>
      </c>
      <c r="D116" s="90" t="s">
        <v>194</v>
      </c>
      <c r="E116" s="49">
        <v>1168</v>
      </c>
      <c r="F116" s="50">
        <v>0.67</v>
      </c>
      <c r="G116" s="49">
        <v>14</v>
      </c>
      <c r="H116" s="52">
        <v>22</v>
      </c>
      <c r="I116" s="51">
        <v>2757.1319727891159</v>
      </c>
      <c r="J116" s="51">
        <v>964.99619047619046</v>
      </c>
      <c r="K116" s="49">
        <v>289</v>
      </c>
      <c r="L116" s="90">
        <v>220</v>
      </c>
      <c r="M116" s="52">
        <v>6</v>
      </c>
      <c r="N116" s="52"/>
      <c r="O116" s="52"/>
      <c r="P116" s="52"/>
      <c r="Q116" s="52"/>
      <c r="R116" s="52"/>
      <c r="S116" s="52"/>
      <c r="T116" s="49">
        <v>5</v>
      </c>
      <c r="U116" s="49"/>
      <c r="V116" s="54"/>
      <c r="W116" s="54"/>
      <c r="X116" s="52"/>
      <c r="Y116" s="52"/>
      <c r="Z116" s="49" t="s">
        <v>195</v>
      </c>
      <c r="AA116" s="52" t="s">
        <v>196</v>
      </c>
      <c r="AB116" s="71">
        <v>400</v>
      </c>
      <c r="AC116" s="77">
        <v>140</v>
      </c>
      <c r="AD116" s="38"/>
    </row>
    <row r="117" spans="2:30" x14ac:dyDescent="0.2">
      <c r="B117" s="55" t="s">
        <v>229</v>
      </c>
      <c r="C117" s="49" t="s">
        <v>197</v>
      </c>
      <c r="D117" s="90" t="s">
        <v>198</v>
      </c>
      <c r="E117" s="49">
        <v>1168</v>
      </c>
      <c r="F117" s="53">
        <v>2</v>
      </c>
      <c r="G117" s="49">
        <v>36</v>
      </c>
      <c r="H117" s="52">
        <v>110</v>
      </c>
      <c r="I117" s="51">
        <v>2757.1319727891159</v>
      </c>
      <c r="J117" s="51">
        <v>689.28299319727898</v>
      </c>
      <c r="K117" s="49">
        <v>280</v>
      </c>
      <c r="L117" s="90">
        <v>220</v>
      </c>
      <c r="M117" s="52">
        <v>9</v>
      </c>
      <c r="N117" s="52"/>
      <c r="O117" s="52"/>
      <c r="P117" s="52">
        <v>0.9</v>
      </c>
      <c r="Q117" s="52">
        <v>0.5</v>
      </c>
      <c r="R117" s="52"/>
      <c r="S117" s="49"/>
      <c r="T117" s="49">
        <v>60</v>
      </c>
      <c r="U117" s="49"/>
      <c r="V117" s="54">
        <v>11000000</v>
      </c>
      <c r="W117" s="54">
        <v>30000</v>
      </c>
      <c r="X117" s="49">
        <v>11</v>
      </c>
      <c r="Y117" s="49">
        <v>35</v>
      </c>
      <c r="Z117" s="49" t="s">
        <v>158</v>
      </c>
      <c r="AA117" s="52" t="s">
        <v>76</v>
      </c>
      <c r="AB117" s="71">
        <v>400</v>
      </c>
      <c r="AC117" s="77">
        <v>140</v>
      </c>
      <c r="AD117" s="38"/>
    </row>
    <row r="118" spans="2:30" x14ac:dyDescent="0.2">
      <c r="B118" s="55" t="s">
        <v>229</v>
      </c>
      <c r="C118" s="49" t="s">
        <v>199</v>
      </c>
      <c r="D118" s="90" t="s">
        <v>200</v>
      </c>
      <c r="E118" s="49">
        <v>1168</v>
      </c>
      <c r="F118" s="49">
        <v>3.7</v>
      </c>
      <c r="G118" s="49">
        <v>80</v>
      </c>
      <c r="H118" s="49">
        <v>490</v>
      </c>
      <c r="I118" s="51">
        <v>2929.4527210884357</v>
      </c>
      <c r="J118" s="51">
        <v>689.28299319727898</v>
      </c>
      <c r="K118" s="49">
        <v>315</v>
      </c>
      <c r="L118" s="90">
        <v>250</v>
      </c>
      <c r="M118" s="52">
        <v>9</v>
      </c>
      <c r="N118" s="52"/>
      <c r="O118" s="52"/>
      <c r="P118" s="52"/>
      <c r="Q118" s="52"/>
      <c r="R118" s="52"/>
      <c r="S118" s="52"/>
      <c r="T118" s="52">
        <v>60</v>
      </c>
      <c r="U118" s="52"/>
      <c r="V118" s="58">
        <v>20000000</v>
      </c>
      <c r="W118" s="54">
        <v>21000</v>
      </c>
      <c r="X118" s="52">
        <v>38</v>
      </c>
      <c r="Y118" s="52">
        <v>70</v>
      </c>
      <c r="Z118" s="49" t="s">
        <v>201</v>
      </c>
      <c r="AA118" s="52" t="s">
        <v>76</v>
      </c>
      <c r="AB118" s="71">
        <v>400</v>
      </c>
      <c r="AC118" s="77">
        <v>140</v>
      </c>
      <c r="AD118" s="38"/>
    </row>
    <row r="119" spans="2:30" x14ac:dyDescent="0.2">
      <c r="B119" s="55" t="s">
        <v>229</v>
      </c>
      <c r="C119" s="49" t="s">
        <v>202</v>
      </c>
      <c r="D119" s="90" t="s">
        <v>182</v>
      </c>
      <c r="E119" s="49">
        <v>1168</v>
      </c>
      <c r="F119" s="53">
        <v>5.2</v>
      </c>
      <c r="G119" s="49">
        <v>46</v>
      </c>
      <c r="H119" s="49">
        <v>445</v>
      </c>
      <c r="I119" s="51">
        <v>2757.1319727891159</v>
      </c>
      <c r="J119" s="51">
        <v>689.28299319727898</v>
      </c>
      <c r="K119" s="49">
        <v>323.60000000000002</v>
      </c>
      <c r="L119" s="90">
        <v>250</v>
      </c>
      <c r="M119" s="52">
        <v>9</v>
      </c>
      <c r="N119" s="52"/>
      <c r="O119" s="52"/>
      <c r="P119" s="52"/>
      <c r="Q119" s="52"/>
      <c r="R119" s="52"/>
      <c r="S119" s="57"/>
      <c r="T119" s="52">
        <v>60</v>
      </c>
      <c r="U119" s="52"/>
      <c r="V119" s="58">
        <v>20616500</v>
      </c>
      <c r="W119" s="58">
        <v>500</v>
      </c>
      <c r="X119" s="57">
        <v>36.195</v>
      </c>
      <c r="Y119" s="57">
        <v>72.567800000000005</v>
      </c>
      <c r="Z119" s="52" t="s">
        <v>203</v>
      </c>
      <c r="AA119" s="52" t="s">
        <v>76</v>
      </c>
      <c r="AB119" s="71">
        <v>400</v>
      </c>
      <c r="AC119" s="77">
        <v>140</v>
      </c>
      <c r="AD119" s="38"/>
    </row>
    <row r="120" spans="2:30" x14ac:dyDescent="0.2">
      <c r="B120" s="55" t="s">
        <v>229</v>
      </c>
      <c r="C120" s="49" t="s">
        <v>204</v>
      </c>
      <c r="D120" s="90" t="s">
        <v>205</v>
      </c>
      <c r="E120" s="49">
        <v>1168</v>
      </c>
      <c r="F120" s="49">
        <v>4.53</v>
      </c>
      <c r="G120" s="49">
        <v>46</v>
      </c>
      <c r="H120" s="49">
        <v>890</v>
      </c>
      <c r="I120" s="51">
        <v>2929.4527210884357</v>
      </c>
      <c r="J120" s="51">
        <v>689.28299319727898</v>
      </c>
      <c r="K120" s="49">
        <v>303</v>
      </c>
      <c r="L120" s="90">
        <v>250</v>
      </c>
      <c r="M120" s="52">
        <v>9</v>
      </c>
      <c r="N120" s="52"/>
      <c r="O120" s="52"/>
      <c r="P120" s="52"/>
      <c r="Q120" s="52"/>
      <c r="R120" s="52"/>
      <c r="S120" s="57"/>
      <c r="T120" s="52">
        <v>60</v>
      </c>
      <c r="U120" s="52"/>
      <c r="V120" s="58">
        <v>24271000</v>
      </c>
      <c r="W120" s="54">
        <v>134</v>
      </c>
      <c r="X120" s="57">
        <v>38.9636</v>
      </c>
      <c r="Y120" s="57">
        <v>78.739999999999995</v>
      </c>
      <c r="Z120" s="49" t="s">
        <v>158</v>
      </c>
      <c r="AA120" s="52" t="s">
        <v>76</v>
      </c>
      <c r="AB120" s="71">
        <v>400</v>
      </c>
      <c r="AC120" s="77">
        <v>140</v>
      </c>
      <c r="AD120" s="38"/>
    </row>
    <row r="121" spans="2:30" x14ac:dyDescent="0.2">
      <c r="B121" s="55" t="s">
        <v>229</v>
      </c>
      <c r="C121" s="49" t="s">
        <v>206</v>
      </c>
      <c r="D121" s="90" t="s">
        <v>207</v>
      </c>
      <c r="E121" s="49">
        <v>1168</v>
      </c>
      <c r="F121" s="49">
        <v>6.8</v>
      </c>
      <c r="G121" s="49">
        <v>70</v>
      </c>
      <c r="H121" s="49">
        <v>4000</v>
      </c>
      <c r="I121" s="51">
        <v>2757.1319727891159</v>
      </c>
      <c r="J121" s="51">
        <v>1033.9244897959184</v>
      </c>
      <c r="K121" s="49">
        <v>293</v>
      </c>
      <c r="L121" s="90">
        <v>250</v>
      </c>
      <c r="M121" s="52">
        <v>9</v>
      </c>
      <c r="N121" s="52"/>
      <c r="O121" s="52"/>
      <c r="P121" s="52"/>
      <c r="Q121" s="52"/>
      <c r="R121" s="52"/>
      <c r="S121" s="57"/>
      <c r="T121" s="52">
        <v>60</v>
      </c>
      <c r="U121" s="52"/>
      <c r="V121" s="58">
        <v>92073600</v>
      </c>
      <c r="W121" s="54">
        <v>50000</v>
      </c>
      <c r="X121" s="57">
        <v>40.132000000000005</v>
      </c>
      <c r="Y121" s="57">
        <v>71.12</v>
      </c>
      <c r="Z121" s="49" t="s">
        <v>208</v>
      </c>
      <c r="AA121" s="52" t="s">
        <v>76</v>
      </c>
      <c r="AB121" s="71">
        <v>400</v>
      </c>
      <c r="AC121" s="77">
        <v>140</v>
      </c>
      <c r="AD121" s="38"/>
    </row>
    <row r="122" spans="2:30" x14ac:dyDescent="0.2">
      <c r="B122" s="55" t="s">
        <v>229</v>
      </c>
      <c r="C122" s="49" t="s">
        <v>209</v>
      </c>
      <c r="D122" s="90" t="s">
        <v>210</v>
      </c>
      <c r="E122" s="49">
        <v>1168</v>
      </c>
      <c r="F122" s="53">
        <v>4.5</v>
      </c>
      <c r="G122" s="49">
        <v>80</v>
      </c>
      <c r="H122" s="49">
        <v>408</v>
      </c>
      <c r="I122" s="51">
        <v>1800</v>
      </c>
      <c r="J122" s="51">
        <v>1340</v>
      </c>
      <c r="K122" s="49">
        <v>319</v>
      </c>
      <c r="L122" s="90">
        <v>200</v>
      </c>
      <c r="M122" s="52">
        <v>8</v>
      </c>
      <c r="N122" s="52"/>
      <c r="O122" s="52"/>
      <c r="P122" s="52"/>
      <c r="Q122" s="52"/>
      <c r="R122" s="52"/>
      <c r="S122" s="52"/>
      <c r="T122" s="52">
        <v>60</v>
      </c>
      <c r="U122" s="52"/>
      <c r="V122" s="58">
        <v>9600000</v>
      </c>
      <c r="W122" s="58"/>
      <c r="X122" s="52"/>
      <c r="Y122" s="52">
        <v>77.7</v>
      </c>
      <c r="Z122" s="49" t="s">
        <v>211</v>
      </c>
      <c r="AA122" s="52" t="s">
        <v>212</v>
      </c>
      <c r="AB122" s="71">
        <v>400</v>
      </c>
      <c r="AC122" s="77">
        <v>140</v>
      </c>
      <c r="AD122" s="38"/>
    </row>
    <row r="123" spans="2:30" x14ac:dyDescent="0.2">
      <c r="B123" s="55" t="s">
        <v>229</v>
      </c>
      <c r="C123" s="49" t="s">
        <v>213</v>
      </c>
      <c r="D123" s="90" t="s">
        <v>214</v>
      </c>
      <c r="E123" s="49">
        <v>1168</v>
      </c>
      <c r="F123" s="53">
        <v>0.8</v>
      </c>
      <c r="G123" s="49">
        <v>14</v>
      </c>
      <c r="H123" s="49">
        <v>22</v>
      </c>
      <c r="I123" s="51">
        <v>1895.5282312925174</v>
      </c>
      <c r="J123" s="51">
        <v>689.28299319727898</v>
      </c>
      <c r="K123" s="49">
        <v>295</v>
      </c>
      <c r="L123" s="90">
        <v>200</v>
      </c>
      <c r="M123" s="52">
        <v>9</v>
      </c>
      <c r="N123" s="52"/>
      <c r="O123" s="52"/>
      <c r="P123" s="52"/>
      <c r="Q123" s="52"/>
      <c r="R123" s="52"/>
      <c r="S123" s="52"/>
      <c r="T123" s="52">
        <v>5</v>
      </c>
      <c r="U123" s="52"/>
      <c r="V123" s="58"/>
      <c r="W123" s="58">
        <v>379000</v>
      </c>
      <c r="X123" s="52"/>
      <c r="Y123" s="52"/>
      <c r="Z123" s="49" t="s">
        <v>215</v>
      </c>
      <c r="AA123" s="52" t="s">
        <v>216</v>
      </c>
      <c r="AB123" s="71">
        <v>400</v>
      </c>
      <c r="AC123" s="77">
        <v>140</v>
      </c>
      <c r="AD123" s="38"/>
    </row>
    <row r="124" spans="2:30" x14ac:dyDescent="0.2">
      <c r="B124" s="55" t="s">
        <v>229</v>
      </c>
      <c r="C124" s="49" t="s">
        <v>217</v>
      </c>
      <c r="D124" s="90" t="s">
        <v>218</v>
      </c>
      <c r="E124" s="49">
        <v>1168</v>
      </c>
      <c r="F124" s="49">
        <v>0.44</v>
      </c>
      <c r="G124" s="49">
        <v>14</v>
      </c>
      <c r="H124" s="49">
        <v>22</v>
      </c>
      <c r="I124" s="51">
        <v>2750</v>
      </c>
      <c r="J124" s="51">
        <v>960</v>
      </c>
      <c r="K124" s="49">
        <v>303</v>
      </c>
      <c r="L124" s="90">
        <v>250</v>
      </c>
      <c r="M124" s="52">
        <v>6</v>
      </c>
      <c r="N124" s="52"/>
      <c r="O124" s="52"/>
      <c r="P124" s="52"/>
      <c r="Q124" s="52"/>
      <c r="R124" s="52"/>
      <c r="S124" s="52"/>
      <c r="T124" s="52">
        <v>5</v>
      </c>
      <c r="U124" s="52"/>
      <c r="V124" s="58">
        <v>2600000</v>
      </c>
      <c r="W124" s="58"/>
      <c r="X124" s="52"/>
      <c r="Y124" s="52">
        <v>5.2</v>
      </c>
      <c r="Z124" s="49" t="s">
        <v>498</v>
      </c>
      <c r="AA124" s="52" t="s">
        <v>219</v>
      </c>
      <c r="AB124" s="71">
        <v>400</v>
      </c>
      <c r="AC124" s="77">
        <v>140</v>
      </c>
      <c r="AD124" s="38"/>
    </row>
    <row r="125" spans="2:30" x14ac:dyDescent="0.2">
      <c r="B125" s="55" t="s">
        <v>229</v>
      </c>
      <c r="C125" s="49" t="s">
        <v>220</v>
      </c>
      <c r="D125" s="90" t="s">
        <v>221</v>
      </c>
      <c r="E125" s="49">
        <v>1168</v>
      </c>
      <c r="F125" s="53">
        <v>0.68</v>
      </c>
      <c r="G125" s="49">
        <v>14</v>
      </c>
      <c r="H125" s="49">
        <v>11</v>
      </c>
      <c r="I125" s="51">
        <v>2400</v>
      </c>
      <c r="J125" s="51">
        <v>1000</v>
      </c>
      <c r="K125" s="49">
        <v>290</v>
      </c>
      <c r="L125" s="90">
        <v>200</v>
      </c>
      <c r="M125" s="52">
        <v>7</v>
      </c>
      <c r="N125" s="52"/>
      <c r="O125" s="52"/>
      <c r="P125" s="52"/>
      <c r="Q125" s="52"/>
      <c r="R125" s="52"/>
      <c r="S125" s="52"/>
      <c r="T125" s="52">
        <v>5</v>
      </c>
      <c r="U125" s="52"/>
      <c r="V125" s="58">
        <v>2300000</v>
      </c>
      <c r="W125" s="58"/>
      <c r="X125" s="52"/>
      <c r="Y125" s="52">
        <v>22.3</v>
      </c>
      <c r="Z125" s="49" t="s">
        <v>222</v>
      </c>
      <c r="AA125" s="52" t="s">
        <v>223</v>
      </c>
      <c r="AB125" s="71">
        <v>400</v>
      </c>
      <c r="AC125" s="77">
        <v>140</v>
      </c>
      <c r="AD125" s="38"/>
    </row>
    <row r="126" spans="2:30" x14ac:dyDescent="0.2">
      <c r="B126" s="55" t="s">
        <v>229</v>
      </c>
      <c r="C126" s="49" t="s">
        <v>224</v>
      </c>
      <c r="D126" s="90" t="s">
        <v>225</v>
      </c>
      <c r="E126" s="49">
        <v>1168</v>
      </c>
      <c r="F126" s="53">
        <v>0.6</v>
      </c>
      <c r="G126" s="49">
        <v>14</v>
      </c>
      <c r="H126" s="52">
        <v>9</v>
      </c>
      <c r="I126" s="51">
        <v>2000</v>
      </c>
      <c r="J126" s="51">
        <v>800</v>
      </c>
      <c r="K126" s="49">
        <v>274</v>
      </c>
      <c r="L126" s="90">
        <v>220</v>
      </c>
      <c r="M126" s="52">
        <v>9</v>
      </c>
      <c r="N126" s="52"/>
      <c r="O126" s="52"/>
      <c r="P126" s="52"/>
      <c r="Q126" s="52"/>
      <c r="R126" s="52"/>
      <c r="S126" s="52"/>
      <c r="T126" s="49">
        <v>5</v>
      </c>
      <c r="U126" s="49"/>
      <c r="V126" s="54">
        <v>1480000</v>
      </c>
      <c r="W126" s="54"/>
      <c r="X126" s="52"/>
      <c r="Y126" s="52"/>
      <c r="Z126" s="49" t="s">
        <v>226</v>
      </c>
      <c r="AA126" s="52" t="s">
        <v>223</v>
      </c>
      <c r="AB126" s="71">
        <v>400</v>
      </c>
      <c r="AC126" s="77">
        <v>140</v>
      </c>
      <c r="AD126" s="38"/>
    </row>
    <row r="127" spans="2:30" x14ac:dyDescent="0.2">
      <c r="B127" s="55" t="s">
        <v>229</v>
      </c>
      <c r="C127" s="49" t="s">
        <v>236</v>
      </c>
      <c r="D127" s="90" t="s">
        <v>237</v>
      </c>
      <c r="E127" s="49">
        <v>1168</v>
      </c>
      <c r="F127" s="50">
        <v>51.26</v>
      </c>
      <c r="G127" s="49"/>
      <c r="H127" s="47">
        <v>16700</v>
      </c>
      <c r="I127" s="51"/>
      <c r="J127" s="51"/>
      <c r="K127" s="49">
        <v>340</v>
      </c>
      <c r="L127" s="90"/>
      <c r="M127" s="52"/>
      <c r="N127" s="52"/>
      <c r="O127" s="52"/>
      <c r="P127" s="52"/>
      <c r="Q127" s="52"/>
      <c r="R127" s="61">
        <v>1.3879999999999999</v>
      </c>
      <c r="S127" s="53"/>
      <c r="T127" s="49"/>
      <c r="U127" s="49"/>
      <c r="V127" s="54"/>
      <c r="W127" s="54"/>
      <c r="X127" s="53"/>
      <c r="Y127" s="53"/>
      <c r="Z127" s="49" t="s">
        <v>258</v>
      </c>
      <c r="AA127" s="49" t="s">
        <v>259</v>
      </c>
      <c r="AB127" s="71">
        <v>400</v>
      </c>
      <c r="AC127" s="77">
        <v>140</v>
      </c>
      <c r="AD127" s="38"/>
    </row>
    <row r="128" spans="2:30" x14ac:dyDescent="0.2">
      <c r="B128" s="55" t="s">
        <v>229</v>
      </c>
      <c r="C128" s="49" t="s">
        <v>241</v>
      </c>
      <c r="D128" s="90" t="s">
        <v>238</v>
      </c>
      <c r="E128" s="49">
        <v>1168</v>
      </c>
      <c r="F128" s="50">
        <v>57.15</v>
      </c>
      <c r="G128" s="49"/>
      <c r="H128" s="47">
        <v>16700</v>
      </c>
      <c r="I128" s="51"/>
      <c r="J128" s="51"/>
      <c r="K128" s="49">
        <v>334</v>
      </c>
      <c r="L128" s="90"/>
      <c r="M128" s="52"/>
      <c r="N128" s="52"/>
      <c r="O128" s="52"/>
      <c r="P128" s="52"/>
      <c r="Q128" s="52"/>
      <c r="R128" s="61">
        <v>1.5</v>
      </c>
      <c r="S128" s="53"/>
      <c r="T128" s="49"/>
      <c r="U128" s="49"/>
      <c r="V128" s="54"/>
      <c r="W128" s="54"/>
      <c r="X128" s="53"/>
      <c r="Y128" s="53"/>
      <c r="Z128" s="49" t="s">
        <v>258</v>
      </c>
      <c r="AA128" s="49" t="s">
        <v>259</v>
      </c>
      <c r="AB128" s="71">
        <v>400</v>
      </c>
      <c r="AC128" s="77">
        <v>140</v>
      </c>
      <c r="AD128" s="38"/>
    </row>
    <row r="129" spans="2:30" x14ac:dyDescent="0.2">
      <c r="B129" s="55" t="s">
        <v>229</v>
      </c>
      <c r="C129" s="49" t="s">
        <v>242</v>
      </c>
      <c r="D129" s="90" t="s">
        <v>240</v>
      </c>
      <c r="E129" s="49">
        <v>1168</v>
      </c>
      <c r="F129" s="50">
        <v>99.79</v>
      </c>
      <c r="G129" s="49"/>
      <c r="H129" s="47">
        <v>43600</v>
      </c>
      <c r="I129" s="51"/>
      <c r="J129" s="51"/>
      <c r="K129" s="49">
        <v>320</v>
      </c>
      <c r="L129" s="90"/>
      <c r="M129" s="52"/>
      <c r="N129" s="52"/>
      <c r="O129" s="52"/>
      <c r="P129" s="52"/>
      <c r="Q129" s="52"/>
      <c r="R129" s="61">
        <v>0.33333333333333331</v>
      </c>
      <c r="S129" s="53"/>
      <c r="T129" s="49"/>
      <c r="U129" s="49"/>
      <c r="V129" s="54"/>
      <c r="W129" s="54"/>
      <c r="X129" s="53"/>
      <c r="Y129" s="53"/>
      <c r="Z129" s="49" t="s">
        <v>260</v>
      </c>
      <c r="AA129" s="49" t="s">
        <v>259</v>
      </c>
      <c r="AB129" s="71">
        <v>400</v>
      </c>
      <c r="AC129" s="77">
        <v>140</v>
      </c>
      <c r="AD129" s="38"/>
    </row>
    <row r="130" spans="2:30" x14ac:dyDescent="0.2">
      <c r="B130" s="55" t="s">
        <v>229</v>
      </c>
      <c r="C130" s="49" t="s">
        <v>244</v>
      </c>
      <c r="D130" s="90" t="s">
        <v>200</v>
      </c>
      <c r="E130" s="49">
        <v>1168</v>
      </c>
      <c r="F130" s="50">
        <v>7.26</v>
      </c>
      <c r="G130" s="49"/>
      <c r="H130" s="47">
        <v>4000</v>
      </c>
      <c r="I130" s="51"/>
      <c r="J130" s="51"/>
      <c r="K130" s="49">
        <v>309</v>
      </c>
      <c r="L130" s="90"/>
      <c r="M130" s="52"/>
      <c r="N130" s="52"/>
      <c r="O130" s="52"/>
      <c r="P130" s="52"/>
      <c r="Q130" s="52"/>
      <c r="R130" s="61">
        <v>0.69444444444444442</v>
      </c>
      <c r="S130" s="53"/>
      <c r="T130" s="49"/>
      <c r="U130" s="49"/>
      <c r="V130" s="54"/>
      <c r="W130" s="54"/>
      <c r="X130" s="53"/>
      <c r="Y130" s="53"/>
      <c r="Z130" s="49" t="s">
        <v>79</v>
      </c>
      <c r="AA130" s="49" t="s">
        <v>259</v>
      </c>
      <c r="AB130" s="71">
        <v>400</v>
      </c>
      <c r="AC130" s="77">
        <v>140</v>
      </c>
      <c r="AD130" s="38"/>
    </row>
    <row r="131" spans="2:30" x14ac:dyDescent="0.2">
      <c r="B131" s="55" t="s">
        <v>229</v>
      </c>
      <c r="C131" s="49" t="s">
        <v>245</v>
      </c>
      <c r="D131" s="90" t="s">
        <v>243</v>
      </c>
      <c r="E131" s="49">
        <v>1168</v>
      </c>
      <c r="F131" s="50">
        <v>90.72</v>
      </c>
      <c r="G131" s="49"/>
      <c r="H131" s="47">
        <v>26700</v>
      </c>
      <c r="I131" s="51"/>
      <c r="J131" s="51"/>
      <c r="K131" s="49">
        <v>340</v>
      </c>
      <c r="L131" s="90"/>
      <c r="M131" s="52"/>
      <c r="N131" s="52"/>
      <c r="O131" s="52"/>
      <c r="P131" s="52"/>
      <c r="Q131" s="52"/>
      <c r="R131" s="61">
        <v>0.33333333333333331</v>
      </c>
      <c r="S131" s="53"/>
      <c r="T131" s="49"/>
      <c r="U131" s="49"/>
      <c r="V131" s="54"/>
      <c r="W131" s="54"/>
      <c r="X131" s="53"/>
      <c r="Y131" s="53"/>
      <c r="Z131" s="49" t="s">
        <v>261</v>
      </c>
      <c r="AA131" s="49" t="s">
        <v>259</v>
      </c>
      <c r="AB131" s="71">
        <v>400</v>
      </c>
      <c r="AC131" s="77">
        <v>140</v>
      </c>
      <c r="AD131" s="38"/>
    </row>
    <row r="132" spans="2:30" x14ac:dyDescent="0.2">
      <c r="B132" s="55" t="s">
        <v>229</v>
      </c>
      <c r="C132" s="49" t="s">
        <v>246</v>
      </c>
      <c r="D132" s="90" t="s">
        <v>251</v>
      </c>
      <c r="E132" s="49">
        <v>1168</v>
      </c>
      <c r="F132" s="50">
        <v>3.76</v>
      </c>
      <c r="G132" s="49"/>
      <c r="H132" s="47">
        <v>489</v>
      </c>
      <c r="I132" s="51"/>
      <c r="J132" s="51"/>
      <c r="K132" s="49">
        <v>310</v>
      </c>
      <c r="L132" s="90"/>
      <c r="M132" s="52"/>
      <c r="N132" s="52"/>
      <c r="O132" s="52"/>
      <c r="P132" s="52"/>
      <c r="Q132" s="52"/>
      <c r="R132" s="61">
        <v>5.5555555555555554</v>
      </c>
      <c r="S132" s="53"/>
      <c r="T132" s="49"/>
      <c r="U132" s="49"/>
      <c r="V132" s="54"/>
      <c r="W132" s="54"/>
      <c r="X132" s="53"/>
      <c r="Y132" s="53"/>
      <c r="Z132" s="49" t="s">
        <v>260</v>
      </c>
      <c r="AA132" s="49" t="s">
        <v>259</v>
      </c>
      <c r="AB132" s="71">
        <v>400</v>
      </c>
      <c r="AC132" s="77">
        <v>140</v>
      </c>
      <c r="AD132" s="38"/>
    </row>
    <row r="133" spans="2:30" x14ac:dyDescent="0.2">
      <c r="B133" s="55" t="s">
        <v>229</v>
      </c>
      <c r="C133" s="49" t="s">
        <v>247</v>
      </c>
      <c r="D133" s="90" t="s">
        <v>252</v>
      </c>
      <c r="E133" s="49">
        <v>1168</v>
      </c>
      <c r="F133" s="50">
        <v>5.22</v>
      </c>
      <c r="G133" s="49"/>
      <c r="H133" s="47">
        <v>445</v>
      </c>
      <c r="I133" s="51"/>
      <c r="J133" s="51"/>
      <c r="K133" s="49">
        <v>302</v>
      </c>
      <c r="L133" s="90"/>
      <c r="M133" s="52"/>
      <c r="N133" s="52"/>
      <c r="O133" s="52"/>
      <c r="P133" s="52"/>
      <c r="Q133" s="52"/>
      <c r="R133" s="61">
        <v>5.5555500000000002</v>
      </c>
      <c r="S133" s="53"/>
      <c r="T133" s="49"/>
      <c r="U133" s="49"/>
      <c r="V133" s="54"/>
      <c r="W133" s="54"/>
      <c r="X133" s="53"/>
      <c r="Y133" s="53"/>
      <c r="Z133" s="49" t="s">
        <v>158</v>
      </c>
      <c r="AA133" s="49" t="s">
        <v>259</v>
      </c>
      <c r="AB133" s="71">
        <v>400</v>
      </c>
      <c r="AC133" s="77">
        <v>140</v>
      </c>
      <c r="AD133" s="38"/>
    </row>
    <row r="134" spans="2:30" x14ac:dyDescent="0.2">
      <c r="B134" s="55" t="s">
        <v>229</v>
      </c>
      <c r="C134" s="59" t="s">
        <v>248</v>
      </c>
      <c r="D134" s="90" t="s">
        <v>253</v>
      </c>
      <c r="E134" s="49">
        <v>1168</v>
      </c>
      <c r="F134" s="50">
        <v>113.4</v>
      </c>
      <c r="G134" s="49"/>
      <c r="H134" s="47">
        <v>11100</v>
      </c>
      <c r="I134" s="51"/>
      <c r="J134" s="51"/>
      <c r="K134" s="49">
        <v>312</v>
      </c>
      <c r="L134" s="90"/>
      <c r="M134" s="52"/>
      <c r="N134" s="52"/>
      <c r="O134" s="52"/>
      <c r="P134" s="52"/>
      <c r="Q134" s="52"/>
      <c r="R134" s="61">
        <v>0.55555555555555558</v>
      </c>
      <c r="S134" s="53"/>
      <c r="T134" s="49"/>
      <c r="U134" s="49"/>
      <c r="V134" s="54"/>
      <c r="W134" s="54"/>
      <c r="X134" s="53"/>
      <c r="Y134" s="53"/>
      <c r="Z134" s="49" t="s">
        <v>262</v>
      </c>
      <c r="AA134" s="49" t="s">
        <v>259</v>
      </c>
      <c r="AB134" s="71">
        <v>400</v>
      </c>
      <c r="AC134" s="77">
        <v>140</v>
      </c>
      <c r="AD134" s="38"/>
    </row>
    <row r="135" spans="2:30" x14ac:dyDescent="0.2">
      <c r="B135" s="55" t="s">
        <v>229</v>
      </c>
      <c r="C135" s="59" t="s">
        <v>249</v>
      </c>
      <c r="D135" s="90" t="s">
        <v>254</v>
      </c>
      <c r="E135" s="49">
        <v>1168</v>
      </c>
      <c r="F135" s="50">
        <v>4.08</v>
      </c>
      <c r="G135" s="49"/>
      <c r="H135" s="47">
        <v>489</v>
      </c>
      <c r="I135" s="51"/>
      <c r="J135" s="51"/>
      <c r="K135" s="49">
        <v>312</v>
      </c>
      <c r="L135" s="90"/>
      <c r="M135" s="52"/>
      <c r="N135" s="52"/>
      <c r="O135" s="52"/>
      <c r="P135" s="52"/>
      <c r="Q135" s="52"/>
      <c r="R135" s="61">
        <v>2.7777777777777777</v>
      </c>
      <c r="S135" s="53"/>
      <c r="T135" s="49"/>
      <c r="U135" s="49"/>
      <c r="V135" s="54"/>
      <c r="W135" s="54"/>
      <c r="X135" s="53"/>
      <c r="Y135" s="53"/>
      <c r="Z135" s="49" t="s">
        <v>258</v>
      </c>
      <c r="AA135" s="49" t="s">
        <v>259</v>
      </c>
      <c r="AB135" s="71">
        <v>400</v>
      </c>
      <c r="AC135" s="77">
        <v>140</v>
      </c>
      <c r="AD135" s="38"/>
    </row>
    <row r="136" spans="2:30" x14ac:dyDescent="0.2">
      <c r="B136" s="55" t="s">
        <v>229</v>
      </c>
      <c r="C136" s="49" t="s">
        <v>257</v>
      </c>
      <c r="D136" s="90" t="s">
        <v>256</v>
      </c>
      <c r="E136" s="49">
        <v>1168</v>
      </c>
      <c r="F136" s="50">
        <v>7.26</v>
      </c>
      <c r="G136" s="49"/>
      <c r="H136" s="47">
        <v>4000</v>
      </c>
      <c r="I136" s="51"/>
      <c r="J136" s="51"/>
      <c r="K136" s="49">
        <v>309</v>
      </c>
      <c r="L136" s="90"/>
      <c r="M136" s="52"/>
      <c r="N136" s="52"/>
      <c r="O136" s="52"/>
      <c r="P136" s="52"/>
      <c r="Q136" s="52"/>
      <c r="R136" s="61">
        <v>6.9444444444444446</v>
      </c>
      <c r="S136" s="53"/>
      <c r="T136" s="49"/>
      <c r="U136" s="49"/>
      <c r="V136" s="54"/>
      <c r="W136" s="54"/>
      <c r="X136" s="53"/>
      <c r="Y136" s="53"/>
      <c r="Z136" s="49" t="s">
        <v>263</v>
      </c>
      <c r="AA136" s="49" t="s">
        <v>259</v>
      </c>
      <c r="AB136" s="71">
        <v>400</v>
      </c>
      <c r="AC136" s="77">
        <v>140</v>
      </c>
      <c r="AD136" s="38"/>
    </row>
    <row r="137" spans="2:30" x14ac:dyDescent="0.2">
      <c r="B137" s="55" t="s">
        <v>229</v>
      </c>
      <c r="C137" s="59" t="s">
        <v>250</v>
      </c>
      <c r="D137" s="90" t="s">
        <v>255</v>
      </c>
      <c r="E137" s="49">
        <v>1168</v>
      </c>
      <c r="F137" s="50">
        <v>4.5999999999999996</v>
      </c>
      <c r="G137" s="49"/>
      <c r="H137" s="47">
        <v>445</v>
      </c>
      <c r="I137" s="51"/>
      <c r="J137" s="51"/>
      <c r="K137" s="49">
        <v>325</v>
      </c>
      <c r="L137" s="90"/>
      <c r="M137" s="52"/>
      <c r="N137" s="52"/>
      <c r="O137" s="52"/>
      <c r="P137" s="52"/>
      <c r="Q137" s="52"/>
      <c r="R137" s="61">
        <v>8.3333333333333339</v>
      </c>
      <c r="S137" s="53"/>
      <c r="T137" s="49"/>
      <c r="U137" s="49"/>
      <c r="V137" s="54"/>
      <c r="W137" s="54"/>
      <c r="X137" s="53"/>
      <c r="Y137" s="53"/>
      <c r="Z137" s="49" t="s">
        <v>264</v>
      </c>
      <c r="AA137" s="49" t="s">
        <v>259</v>
      </c>
      <c r="AB137" s="71">
        <v>400</v>
      </c>
      <c r="AC137" s="77">
        <v>140</v>
      </c>
      <c r="AD137" s="38"/>
    </row>
    <row r="138" spans="2:30" x14ac:dyDescent="0.2">
      <c r="B138" s="48" t="s">
        <v>492</v>
      </c>
      <c r="C138" s="49" t="s">
        <v>33</v>
      </c>
      <c r="D138" s="90" t="s">
        <v>34</v>
      </c>
      <c r="E138" s="49">
        <v>808</v>
      </c>
      <c r="F138" s="50">
        <v>2.5000000000000001E-2</v>
      </c>
      <c r="G138" s="49">
        <v>10</v>
      </c>
      <c r="H138" s="52">
        <v>4.4999999999999997E-3</v>
      </c>
      <c r="I138" s="51">
        <v>344.64149659863949</v>
      </c>
      <c r="J138" s="51">
        <v>0</v>
      </c>
      <c r="K138" s="49">
        <v>76</v>
      </c>
      <c r="L138" s="90">
        <v>76</v>
      </c>
      <c r="M138" s="49">
        <v>9</v>
      </c>
      <c r="N138" s="49"/>
      <c r="O138" s="49"/>
      <c r="P138" s="49"/>
      <c r="Q138" s="49"/>
      <c r="R138" s="49"/>
      <c r="S138" s="49"/>
      <c r="T138" s="52">
        <v>5</v>
      </c>
      <c r="U138" s="52"/>
      <c r="V138" s="49"/>
      <c r="W138" s="54">
        <v>15000</v>
      </c>
      <c r="X138" s="53">
        <v>1.2</v>
      </c>
      <c r="Y138" s="53">
        <v>3.5</v>
      </c>
      <c r="Z138" s="49" t="s">
        <v>35</v>
      </c>
      <c r="AA138" s="52" t="s">
        <v>36</v>
      </c>
      <c r="AB138" s="143">
        <v>500</v>
      </c>
      <c r="AC138" s="77">
        <v>100</v>
      </c>
      <c r="AD138" s="38"/>
    </row>
    <row r="139" spans="2:30" x14ac:dyDescent="0.2">
      <c r="B139" s="48" t="s">
        <v>492</v>
      </c>
      <c r="C139" s="49" t="s">
        <v>37</v>
      </c>
      <c r="D139" s="90" t="s">
        <v>38</v>
      </c>
      <c r="E139" s="49">
        <v>808</v>
      </c>
      <c r="F139" s="50">
        <v>2.1999999999999999E-2</v>
      </c>
      <c r="G139" s="49">
        <v>30</v>
      </c>
      <c r="H139" s="52">
        <v>3.5</v>
      </c>
      <c r="I139" s="51">
        <v>2067.8489795918367</v>
      </c>
      <c r="J139" s="51">
        <v>689.28299319727898</v>
      </c>
      <c r="K139" s="49">
        <v>76</v>
      </c>
      <c r="L139" s="90">
        <v>76</v>
      </c>
      <c r="M139" s="49">
        <v>9</v>
      </c>
      <c r="N139" s="49"/>
      <c r="O139" s="49"/>
      <c r="P139" s="49"/>
      <c r="Q139" s="49"/>
      <c r="R139" s="49"/>
      <c r="S139" s="49"/>
      <c r="T139" s="52">
        <v>5</v>
      </c>
      <c r="U139" s="52"/>
      <c r="V139" s="49"/>
      <c r="W139" s="54">
        <v>10000</v>
      </c>
      <c r="X139" s="53">
        <v>1.5</v>
      </c>
      <c r="Y139" s="53">
        <v>2.5</v>
      </c>
      <c r="Z139" s="49" t="s">
        <v>39</v>
      </c>
      <c r="AA139" s="52" t="s">
        <v>36</v>
      </c>
      <c r="AB139" s="143">
        <v>500</v>
      </c>
      <c r="AC139" s="77">
        <v>100</v>
      </c>
      <c r="AD139" s="38"/>
    </row>
    <row r="140" spans="2:30" x14ac:dyDescent="0.2">
      <c r="B140" s="48" t="s">
        <v>492</v>
      </c>
      <c r="C140" s="49" t="s">
        <v>40</v>
      </c>
      <c r="D140" s="90" t="s">
        <v>41</v>
      </c>
      <c r="E140" s="49">
        <v>808</v>
      </c>
      <c r="F140" s="50">
        <v>0.23</v>
      </c>
      <c r="G140" s="49">
        <v>10</v>
      </c>
      <c r="H140" s="53">
        <v>44.480000000000004</v>
      </c>
      <c r="I140" s="51">
        <v>10339.244897959185</v>
      </c>
      <c r="J140" s="51">
        <v>4824.9809523809527</v>
      </c>
      <c r="K140" s="49">
        <v>76</v>
      </c>
      <c r="L140" s="90">
        <v>76</v>
      </c>
      <c r="M140" s="49">
        <v>9</v>
      </c>
      <c r="N140" s="49"/>
      <c r="O140" s="49"/>
      <c r="P140" s="49"/>
      <c r="Q140" s="49"/>
      <c r="R140" s="49"/>
      <c r="S140" s="49"/>
      <c r="T140" s="52">
        <v>5</v>
      </c>
      <c r="U140" s="52"/>
      <c r="V140" s="49"/>
      <c r="W140" s="54">
        <v>5000</v>
      </c>
      <c r="X140" s="53">
        <v>8.66</v>
      </c>
      <c r="Y140" s="53">
        <v>6.41</v>
      </c>
      <c r="Z140" s="49" t="s">
        <v>42</v>
      </c>
      <c r="AA140" s="52" t="s">
        <v>36</v>
      </c>
      <c r="AB140" s="143">
        <v>500</v>
      </c>
      <c r="AC140" s="77">
        <v>100</v>
      </c>
      <c r="AD140" s="38"/>
    </row>
    <row r="141" spans="2:30" x14ac:dyDescent="0.2">
      <c r="B141" s="48" t="s">
        <v>492</v>
      </c>
      <c r="C141" s="49" t="s">
        <v>43</v>
      </c>
      <c r="D141" s="90" t="s">
        <v>44</v>
      </c>
      <c r="E141" s="49">
        <v>808</v>
      </c>
      <c r="F141" s="50">
        <v>0.43</v>
      </c>
      <c r="G141" s="49">
        <v>10</v>
      </c>
      <c r="H141" s="49">
        <v>105</v>
      </c>
      <c r="I141" s="51">
        <v>17232.074829931975</v>
      </c>
      <c r="J141" s="51">
        <v>1378.565986394558</v>
      </c>
      <c r="K141" s="49">
        <v>76</v>
      </c>
      <c r="L141" s="90">
        <v>76</v>
      </c>
      <c r="M141" s="49">
        <v>9</v>
      </c>
      <c r="N141" s="49"/>
      <c r="O141" s="49"/>
      <c r="P141" s="49"/>
      <c r="Q141" s="49"/>
      <c r="R141" s="49"/>
      <c r="S141" s="49"/>
      <c r="T141" s="52">
        <v>5</v>
      </c>
      <c r="U141" s="52"/>
      <c r="V141" s="49"/>
      <c r="W141" s="54">
        <v>6000</v>
      </c>
      <c r="X141" s="53">
        <v>9.8000000000000007</v>
      </c>
      <c r="Y141" s="53">
        <v>10.4</v>
      </c>
      <c r="Z141" s="49" t="s">
        <v>45</v>
      </c>
      <c r="AA141" s="52" t="s">
        <v>36</v>
      </c>
      <c r="AB141" s="143">
        <v>500</v>
      </c>
      <c r="AC141" s="77">
        <v>100</v>
      </c>
      <c r="AD141" s="38"/>
    </row>
    <row r="142" spans="2:30" ht="13.5" thickBot="1" x14ac:dyDescent="0.25">
      <c r="B142" s="62" t="s">
        <v>492</v>
      </c>
      <c r="C142" s="63" t="s">
        <v>46</v>
      </c>
      <c r="D142" s="100" t="s">
        <v>47</v>
      </c>
      <c r="E142" s="63">
        <v>808</v>
      </c>
      <c r="F142" s="64">
        <v>0.18</v>
      </c>
      <c r="G142" s="63">
        <v>30</v>
      </c>
      <c r="H142" s="65">
        <v>266.88</v>
      </c>
      <c r="I142" s="65">
        <v>10339.244897959185</v>
      </c>
      <c r="J142" s="65">
        <v>4824.9809523809527</v>
      </c>
      <c r="K142" s="63">
        <v>76</v>
      </c>
      <c r="L142" s="100">
        <v>76</v>
      </c>
      <c r="M142" s="63">
        <v>9</v>
      </c>
      <c r="N142" s="63"/>
      <c r="O142" s="63"/>
      <c r="P142" s="63"/>
      <c r="Q142" s="63"/>
      <c r="R142" s="63"/>
      <c r="S142" s="63"/>
      <c r="T142" s="66">
        <v>5</v>
      </c>
      <c r="U142" s="66"/>
      <c r="V142" s="63"/>
      <c r="W142" s="67">
        <v>10000</v>
      </c>
      <c r="X142" s="68">
        <v>5.4</v>
      </c>
      <c r="Y142" s="68">
        <v>6.7</v>
      </c>
      <c r="Z142" s="63" t="s">
        <v>48</v>
      </c>
      <c r="AA142" s="66" t="s">
        <v>36</v>
      </c>
      <c r="AB142" s="144">
        <v>500</v>
      </c>
      <c r="AC142" s="69">
        <v>100</v>
      </c>
      <c r="AD142" s="38"/>
    </row>
    <row r="143" spans="2:30" s="20" customFormat="1" x14ac:dyDescent="0.2">
      <c r="B143" s="40"/>
      <c r="C143" s="40"/>
      <c r="D143" s="40"/>
      <c r="E143" s="40"/>
      <c r="F143" s="41"/>
      <c r="G143" s="40"/>
      <c r="H143" s="42"/>
      <c r="I143" s="42"/>
      <c r="J143" s="42"/>
      <c r="K143" s="40"/>
      <c r="L143" s="40"/>
      <c r="M143" s="40"/>
      <c r="N143" s="40"/>
      <c r="O143" s="40"/>
      <c r="P143" s="40"/>
      <c r="Q143" s="40"/>
      <c r="R143" s="40"/>
      <c r="S143" s="40"/>
      <c r="T143" s="33"/>
      <c r="U143" s="33"/>
      <c r="V143" s="40"/>
      <c r="W143" s="43"/>
      <c r="X143" s="44"/>
      <c r="Y143" s="44"/>
      <c r="Z143" s="40"/>
      <c r="AA143" s="33"/>
      <c r="AB143" s="40"/>
      <c r="AC143" s="33"/>
      <c r="AD143" s="39"/>
    </row>
    <row r="144" spans="2:30" ht="21" thickBot="1" x14ac:dyDescent="0.35">
      <c r="B144" s="21" t="s">
        <v>499</v>
      </c>
    </row>
    <row r="145" spans="2:7" ht="25.5" x14ac:dyDescent="0.2">
      <c r="B145" s="222" t="s">
        <v>327</v>
      </c>
      <c r="C145" s="222" t="s">
        <v>328</v>
      </c>
      <c r="D145" s="222" t="s">
        <v>329</v>
      </c>
      <c r="E145" s="222" t="s">
        <v>330</v>
      </c>
      <c r="F145" s="222" t="s">
        <v>332</v>
      </c>
      <c r="G145" s="222" t="s">
        <v>333</v>
      </c>
    </row>
    <row r="146" spans="2:7" x14ac:dyDescent="0.2">
      <c r="B146" s="70" t="s">
        <v>291</v>
      </c>
      <c r="C146" s="71" t="s">
        <v>292</v>
      </c>
      <c r="D146" s="71">
        <v>32</v>
      </c>
      <c r="E146" s="71">
        <v>1.1399999999999999</v>
      </c>
      <c r="F146" s="71">
        <v>-218.8</v>
      </c>
      <c r="G146" s="72">
        <v>-183</v>
      </c>
    </row>
    <row r="147" spans="2:7" x14ac:dyDescent="0.2">
      <c r="B147" s="70" t="s">
        <v>293</v>
      </c>
      <c r="C147" s="71" t="s">
        <v>294</v>
      </c>
      <c r="D147" s="71">
        <v>38</v>
      </c>
      <c r="E147" s="71">
        <v>1.5</v>
      </c>
      <c r="F147" s="71">
        <v>-219.6</v>
      </c>
      <c r="G147" s="72">
        <v>-188.1</v>
      </c>
    </row>
    <row r="148" spans="2:7" x14ac:dyDescent="0.2">
      <c r="B148" s="70" t="s">
        <v>335</v>
      </c>
      <c r="C148" s="71" t="s">
        <v>336</v>
      </c>
      <c r="D148" s="71">
        <v>30</v>
      </c>
      <c r="E148" s="71">
        <v>0.80800000000000005</v>
      </c>
      <c r="F148" s="71">
        <v>-209.95</v>
      </c>
      <c r="G148" s="72">
        <v>-195.86</v>
      </c>
    </row>
    <row r="149" spans="2:7" x14ac:dyDescent="0.2">
      <c r="B149" s="70" t="s">
        <v>295</v>
      </c>
      <c r="C149" s="71" t="s">
        <v>296</v>
      </c>
      <c r="D149" s="71">
        <v>92.01</v>
      </c>
      <c r="E149" s="71">
        <v>1.45</v>
      </c>
      <c r="F149" s="71">
        <v>-9.3000000000000007</v>
      </c>
      <c r="G149" s="72">
        <v>21.15</v>
      </c>
    </row>
    <row r="150" spans="2:7" x14ac:dyDescent="0.2">
      <c r="B150" s="70" t="s">
        <v>297</v>
      </c>
      <c r="C150" s="71" t="s">
        <v>298</v>
      </c>
      <c r="D150" s="71">
        <v>63.01</v>
      </c>
      <c r="E150" s="71">
        <v>1.55</v>
      </c>
      <c r="F150" s="71">
        <v>-41.6</v>
      </c>
      <c r="G150" s="72">
        <v>83</v>
      </c>
    </row>
    <row r="151" spans="2:7" x14ac:dyDescent="0.2">
      <c r="B151" s="70" t="s">
        <v>299</v>
      </c>
      <c r="C151" s="71" t="s">
        <v>300</v>
      </c>
      <c r="D151" s="71">
        <v>34.020000000000003</v>
      </c>
      <c r="E151" s="71">
        <v>1.44</v>
      </c>
      <c r="F151" s="71">
        <v>-0.4</v>
      </c>
      <c r="G151" s="72">
        <v>150.19999999999999</v>
      </c>
    </row>
    <row r="152" spans="2:7" x14ac:dyDescent="0.2">
      <c r="B152" s="70" t="s">
        <v>301</v>
      </c>
      <c r="C152" s="71" t="s">
        <v>302</v>
      </c>
      <c r="D152" s="71">
        <v>44.01</v>
      </c>
      <c r="E152" s="71">
        <v>1.22</v>
      </c>
      <c r="F152" s="71">
        <v>-90.8</v>
      </c>
      <c r="G152" s="72">
        <v>-88.5</v>
      </c>
    </row>
    <row r="153" spans="2:7" x14ac:dyDescent="0.2">
      <c r="B153" s="70" t="s">
        <v>303</v>
      </c>
      <c r="C153" s="71" t="s">
        <v>304</v>
      </c>
      <c r="D153" s="71">
        <v>130.44999999999999</v>
      </c>
      <c r="E153" s="71">
        <v>1.9</v>
      </c>
      <c r="F153" s="71">
        <v>-103</v>
      </c>
      <c r="G153" s="72">
        <v>-13.1</v>
      </c>
    </row>
    <row r="154" spans="2:7" x14ac:dyDescent="0.2">
      <c r="B154" s="70" t="s">
        <v>305</v>
      </c>
      <c r="C154" s="71" t="s">
        <v>306</v>
      </c>
      <c r="D154" s="71">
        <v>117.49</v>
      </c>
      <c r="E154" s="71">
        <v>1.95</v>
      </c>
      <c r="F154" s="71">
        <v>240</v>
      </c>
      <c r="G154" s="72" t="s">
        <v>307</v>
      </c>
    </row>
    <row r="155" spans="2:7" x14ac:dyDescent="0.2">
      <c r="B155" s="70" t="s">
        <v>308</v>
      </c>
      <c r="C155" s="71" t="s">
        <v>309</v>
      </c>
      <c r="D155" s="71">
        <v>2.016</v>
      </c>
      <c r="E155" s="71">
        <v>7.0999999999999994E-2</v>
      </c>
      <c r="F155" s="71">
        <v>-259.3</v>
      </c>
      <c r="G155" s="72">
        <v>-252.9</v>
      </c>
    </row>
    <row r="156" spans="2:7" x14ac:dyDescent="0.2">
      <c r="B156" s="70" t="s">
        <v>310</v>
      </c>
      <c r="C156" s="71" t="s">
        <v>311</v>
      </c>
      <c r="D156" s="71">
        <v>16.04</v>
      </c>
      <c r="E156" s="71">
        <v>0.42299999999999999</v>
      </c>
      <c r="F156" s="71">
        <v>-182.5</v>
      </c>
      <c r="G156" s="72">
        <v>-161.6</v>
      </c>
    </row>
    <row r="157" spans="2:7" x14ac:dyDescent="0.2">
      <c r="B157" s="70" t="s">
        <v>312</v>
      </c>
      <c r="C157" s="71" t="s">
        <v>313</v>
      </c>
      <c r="D157" s="71">
        <v>46.07</v>
      </c>
      <c r="E157" s="71">
        <v>0.78900000000000003</v>
      </c>
      <c r="F157" s="71">
        <v>-114.1</v>
      </c>
      <c r="G157" s="72">
        <v>78.2</v>
      </c>
    </row>
    <row r="158" spans="2:7" x14ac:dyDescent="0.2">
      <c r="B158" s="70" t="s">
        <v>314</v>
      </c>
      <c r="C158" s="71" t="s">
        <v>315</v>
      </c>
      <c r="D158" s="71">
        <v>170.34</v>
      </c>
      <c r="E158" s="71">
        <v>0.749</v>
      </c>
      <c r="F158" s="71">
        <v>-9.6</v>
      </c>
      <c r="G158" s="72">
        <v>216.3</v>
      </c>
    </row>
    <row r="159" spans="2:7" x14ac:dyDescent="0.2">
      <c r="B159" s="70" t="s">
        <v>316</v>
      </c>
      <c r="C159" s="71" t="s">
        <v>317</v>
      </c>
      <c r="D159" s="71">
        <v>175</v>
      </c>
      <c r="E159" s="71">
        <v>0.82</v>
      </c>
      <c r="F159" s="71" t="s">
        <v>307</v>
      </c>
      <c r="G159" s="72" t="s">
        <v>331</v>
      </c>
    </row>
    <row r="160" spans="2:7" x14ac:dyDescent="0.2">
      <c r="B160" s="70" t="s">
        <v>2</v>
      </c>
      <c r="C160" s="71" t="s">
        <v>318</v>
      </c>
      <c r="D160" s="71">
        <v>32.049999999999997</v>
      </c>
      <c r="E160" s="71">
        <v>1.004</v>
      </c>
      <c r="F160" s="71">
        <v>1.4</v>
      </c>
      <c r="G160" s="72">
        <v>113.5</v>
      </c>
    </row>
    <row r="161" spans="2:29" x14ac:dyDescent="0.2">
      <c r="B161" s="70" t="s">
        <v>319</v>
      </c>
      <c r="C161" s="71" t="s">
        <v>320</v>
      </c>
      <c r="D161" s="71">
        <v>46.07</v>
      </c>
      <c r="E161" s="71">
        <v>0.86599999999999999</v>
      </c>
      <c r="F161" s="71">
        <v>-52.4</v>
      </c>
      <c r="G161" s="72">
        <v>87.5</v>
      </c>
    </row>
    <row r="162" spans="2:29" x14ac:dyDescent="0.2">
      <c r="B162" s="70" t="s">
        <v>321</v>
      </c>
      <c r="C162" s="71" t="s">
        <v>322</v>
      </c>
      <c r="D162" s="71">
        <v>60.1</v>
      </c>
      <c r="E162" s="71">
        <v>0.79100000000000004</v>
      </c>
      <c r="F162" s="71">
        <v>-58</v>
      </c>
      <c r="G162" s="72">
        <v>63.9</v>
      </c>
    </row>
    <row r="163" spans="2:29" x14ac:dyDescent="0.2">
      <c r="B163" s="70" t="s">
        <v>323</v>
      </c>
      <c r="C163" s="71" t="s">
        <v>324</v>
      </c>
      <c r="D163" s="71">
        <v>26.98</v>
      </c>
      <c r="E163" s="71">
        <v>2.7</v>
      </c>
      <c r="F163" s="71">
        <v>660.4</v>
      </c>
      <c r="G163" s="72">
        <v>2467</v>
      </c>
    </row>
    <row r="164" spans="2:29" ht="13.5" thickBot="1" x14ac:dyDescent="0.25">
      <c r="B164" s="73" t="s">
        <v>325</v>
      </c>
      <c r="C164" s="74" t="s">
        <v>326</v>
      </c>
      <c r="D164" s="74">
        <v>3000</v>
      </c>
      <c r="E164" s="74">
        <v>0.9</v>
      </c>
      <c r="F164" s="74" t="s">
        <v>307</v>
      </c>
      <c r="G164" s="75" t="s">
        <v>307</v>
      </c>
    </row>
    <row r="166" spans="2:29" ht="21" thickBot="1" x14ac:dyDescent="0.35">
      <c r="B166" s="21" t="s">
        <v>500</v>
      </c>
    </row>
    <row r="167" spans="2:29" ht="38.25" x14ac:dyDescent="0.2">
      <c r="B167" s="222" t="s">
        <v>233</v>
      </c>
      <c r="C167" s="222" t="s">
        <v>20</v>
      </c>
      <c r="D167" s="222" t="s">
        <v>21</v>
      </c>
      <c r="E167" s="222" t="s">
        <v>49</v>
      </c>
      <c r="F167" s="222" t="s">
        <v>22</v>
      </c>
      <c r="G167" s="222" t="s">
        <v>23</v>
      </c>
      <c r="H167" s="222" t="s">
        <v>24</v>
      </c>
      <c r="I167" s="222" t="s">
        <v>25</v>
      </c>
      <c r="J167" s="222" t="s">
        <v>111</v>
      </c>
      <c r="K167" s="222" t="s">
        <v>26</v>
      </c>
      <c r="L167" s="222" t="s">
        <v>27</v>
      </c>
      <c r="M167" s="222" t="s">
        <v>50</v>
      </c>
      <c r="N167" s="222" t="s">
        <v>51</v>
      </c>
      <c r="O167" s="222" t="s">
        <v>18</v>
      </c>
      <c r="P167" s="222" t="s">
        <v>52</v>
      </c>
      <c r="Q167" s="222" t="s">
        <v>53</v>
      </c>
      <c r="R167" s="222" t="s">
        <v>54</v>
      </c>
      <c r="S167" s="222" t="s">
        <v>28</v>
      </c>
      <c r="T167" s="222" t="s">
        <v>496</v>
      </c>
      <c r="U167" s="222"/>
      <c r="V167" s="222" t="s">
        <v>29</v>
      </c>
      <c r="W167" s="222" t="s">
        <v>30</v>
      </c>
      <c r="X167" s="222" t="s">
        <v>31</v>
      </c>
      <c r="Y167" s="222" t="s">
        <v>19</v>
      </c>
      <c r="Z167" s="222" t="s">
        <v>32</v>
      </c>
      <c r="AA167" s="222" t="s">
        <v>234</v>
      </c>
      <c r="AB167" s="222" t="s">
        <v>235</v>
      </c>
      <c r="AC167" s="35"/>
    </row>
    <row r="168" spans="2:29" x14ac:dyDescent="0.2">
      <c r="B168" s="76" t="s">
        <v>230</v>
      </c>
      <c r="C168" s="52" t="s">
        <v>55</v>
      </c>
      <c r="D168" s="201" t="s">
        <v>56</v>
      </c>
      <c r="E168" s="53">
        <v>3.5</v>
      </c>
      <c r="F168" s="52">
        <v>1350</v>
      </c>
      <c r="G168" s="52">
        <v>8.3000000000000004E-2</v>
      </c>
      <c r="H168" s="52"/>
      <c r="I168" s="52"/>
      <c r="J168" s="49">
        <v>1600</v>
      </c>
      <c r="K168" s="49">
        <v>1600</v>
      </c>
      <c r="L168" s="52">
        <v>9</v>
      </c>
      <c r="M168" s="53">
        <v>7</v>
      </c>
      <c r="N168" s="53">
        <v>2.2000000000000002</v>
      </c>
      <c r="O168" s="52">
        <v>0.93</v>
      </c>
      <c r="P168" s="52">
        <v>0.48</v>
      </c>
      <c r="Q168" s="52"/>
      <c r="R168" s="52">
        <v>1</v>
      </c>
      <c r="S168" s="52">
        <v>120</v>
      </c>
      <c r="T168" s="58">
        <v>1000000</v>
      </c>
      <c r="U168" s="58"/>
      <c r="V168" s="58">
        <v>4000</v>
      </c>
      <c r="W168" s="52">
        <v>15</v>
      </c>
      <c r="X168" s="52">
        <v>22</v>
      </c>
      <c r="Y168" s="49" t="s">
        <v>57</v>
      </c>
      <c r="Z168" s="49" t="s">
        <v>58</v>
      </c>
      <c r="AA168" s="49">
        <v>2000</v>
      </c>
      <c r="AB168" s="77">
        <v>85</v>
      </c>
    </row>
    <row r="169" spans="2:29" x14ac:dyDescent="0.2">
      <c r="B169" s="76" t="s">
        <v>230</v>
      </c>
      <c r="C169" s="52" t="s">
        <v>59</v>
      </c>
      <c r="D169" s="201" t="s">
        <v>60</v>
      </c>
      <c r="E169" s="53">
        <v>6.8</v>
      </c>
      <c r="F169" s="52">
        <v>4500</v>
      </c>
      <c r="G169" s="52">
        <v>0.28999999999999998</v>
      </c>
      <c r="H169" s="52"/>
      <c r="I169" s="52"/>
      <c r="J169" s="49">
        <v>1770</v>
      </c>
      <c r="K169" s="49">
        <v>1770</v>
      </c>
      <c r="L169" s="52">
        <v>6</v>
      </c>
      <c r="M169" s="53">
        <v>13.7</v>
      </c>
      <c r="N169" s="53">
        <v>2.2000000000000002</v>
      </c>
      <c r="O169" s="52">
        <v>0.95</v>
      </c>
      <c r="P169" s="52">
        <v>0.55000000000000004</v>
      </c>
      <c r="Q169" s="52">
        <v>10000</v>
      </c>
      <c r="R169" s="52">
        <v>2</v>
      </c>
      <c r="S169" s="52">
        <v>120</v>
      </c>
      <c r="T169" s="58">
        <v>5850000</v>
      </c>
      <c r="U169" s="58"/>
      <c r="V169" s="58"/>
      <c r="W169" s="52"/>
      <c r="X169" s="52"/>
      <c r="Y169" s="52" t="s">
        <v>61</v>
      </c>
      <c r="Z169" s="52" t="s">
        <v>62</v>
      </c>
      <c r="AA169" s="49">
        <v>2000</v>
      </c>
      <c r="AB169" s="77">
        <v>85</v>
      </c>
    </row>
    <row r="170" spans="2:29" x14ac:dyDescent="0.2">
      <c r="B170" s="76" t="s">
        <v>230</v>
      </c>
      <c r="C170" s="52" t="s">
        <v>63</v>
      </c>
      <c r="D170" s="201" t="s">
        <v>64</v>
      </c>
      <c r="E170" s="53">
        <v>4.2</v>
      </c>
      <c r="F170" s="52">
        <v>1350</v>
      </c>
      <c r="G170" s="52">
        <v>8.3000000000000004E-2</v>
      </c>
      <c r="H170" s="52"/>
      <c r="I170" s="52"/>
      <c r="J170" s="49">
        <v>1630</v>
      </c>
      <c r="K170" s="49">
        <v>1630</v>
      </c>
      <c r="L170" s="52">
        <v>9</v>
      </c>
      <c r="M170" s="53">
        <v>7</v>
      </c>
      <c r="N170" s="53">
        <v>2.2000000000000002</v>
      </c>
      <c r="O170" s="52">
        <v>0.93</v>
      </c>
      <c r="P170" s="52">
        <v>0.52</v>
      </c>
      <c r="Q170" s="52">
        <v>10000</v>
      </c>
      <c r="R170" s="52">
        <v>1</v>
      </c>
      <c r="S170" s="52">
        <v>120</v>
      </c>
      <c r="T170" s="58"/>
      <c r="U170" s="58"/>
      <c r="V170" s="58"/>
      <c r="W170" s="52">
        <v>13</v>
      </c>
      <c r="X170" s="52">
        <v>23</v>
      </c>
      <c r="Y170" s="52" t="s">
        <v>65</v>
      </c>
      <c r="Z170" s="52" t="s">
        <v>66</v>
      </c>
      <c r="AA170" s="49">
        <v>2000</v>
      </c>
      <c r="AB170" s="77">
        <v>85</v>
      </c>
    </row>
    <row r="171" spans="2:29" x14ac:dyDescent="0.2">
      <c r="B171" s="76" t="s">
        <v>230</v>
      </c>
      <c r="C171" s="52" t="s">
        <v>67</v>
      </c>
      <c r="D171" s="201" t="s">
        <v>68</v>
      </c>
      <c r="E171" s="53">
        <v>9.1999999999999993</v>
      </c>
      <c r="F171" s="52">
        <v>4500</v>
      </c>
      <c r="G171" s="52">
        <v>0.24</v>
      </c>
      <c r="H171" s="52"/>
      <c r="I171" s="52"/>
      <c r="J171" s="49">
        <v>1900</v>
      </c>
      <c r="K171" s="49">
        <v>1900</v>
      </c>
      <c r="L171" s="52">
        <v>9</v>
      </c>
      <c r="M171" s="53">
        <v>12</v>
      </c>
      <c r="N171" s="53">
        <v>2.2000000000000002</v>
      </c>
      <c r="O171" s="52">
        <v>0.93</v>
      </c>
      <c r="P171" s="52">
        <v>0.56000000000000005</v>
      </c>
      <c r="Q171" s="52">
        <v>10000</v>
      </c>
      <c r="R171" s="52">
        <v>1</v>
      </c>
      <c r="S171" s="52">
        <v>120</v>
      </c>
      <c r="T171" s="58"/>
      <c r="U171" s="58"/>
      <c r="V171" s="58"/>
      <c r="W171" s="52">
        <v>22</v>
      </c>
      <c r="X171" s="52">
        <v>30</v>
      </c>
      <c r="Y171" s="52" t="s">
        <v>65</v>
      </c>
      <c r="Z171" s="52" t="s">
        <v>66</v>
      </c>
      <c r="AA171" s="49">
        <v>2000</v>
      </c>
      <c r="AB171" s="77">
        <v>85</v>
      </c>
    </row>
    <row r="172" spans="2:29" x14ac:dyDescent="0.2">
      <c r="B172" s="76" t="s">
        <v>232</v>
      </c>
      <c r="C172" s="52" t="s">
        <v>69</v>
      </c>
      <c r="D172" s="201" t="s">
        <v>70</v>
      </c>
      <c r="E172" s="53">
        <v>4.2</v>
      </c>
      <c r="F172" s="52">
        <v>1000</v>
      </c>
      <c r="G172" s="52">
        <v>7.2999999999999995E-2</v>
      </c>
      <c r="H172" s="52"/>
      <c r="I172" s="52"/>
      <c r="J172" s="49">
        <v>1800</v>
      </c>
      <c r="K172" s="49">
        <v>1800</v>
      </c>
      <c r="L172" s="52">
        <v>9</v>
      </c>
      <c r="M172" s="53">
        <v>7</v>
      </c>
      <c r="N172" s="53">
        <v>2.2000000000000002</v>
      </c>
      <c r="O172" s="52">
        <v>0.93</v>
      </c>
      <c r="P172" s="52">
        <v>0.52</v>
      </c>
      <c r="Q172" s="52">
        <v>10000</v>
      </c>
      <c r="R172" s="52">
        <v>1</v>
      </c>
      <c r="S172" s="52">
        <v>120</v>
      </c>
      <c r="T172" s="58"/>
      <c r="U172" s="58"/>
      <c r="V172" s="58"/>
      <c r="W172" s="52"/>
      <c r="X172" s="52"/>
      <c r="Y172" s="52" t="s">
        <v>65</v>
      </c>
      <c r="Z172" s="52" t="s">
        <v>71</v>
      </c>
      <c r="AA172" s="49">
        <v>2000</v>
      </c>
      <c r="AB172" s="77">
        <v>85</v>
      </c>
    </row>
    <row r="173" spans="2:29" x14ac:dyDescent="0.2">
      <c r="B173" s="76" t="s">
        <v>232</v>
      </c>
      <c r="C173" s="52" t="s">
        <v>72</v>
      </c>
      <c r="D173" s="201" t="s">
        <v>73</v>
      </c>
      <c r="E173" s="53">
        <v>9.1999999999999993</v>
      </c>
      <c r="F173" s="52">
        <v>2700</v>
      </c>
      <c r="G173" s="52">
        <v>0.12</v>
      </c>
      <c r="H173" s="52"/>
      <c r="I173" s="52"/>
      <c r="J173" s="49">
        <v>1900</v>
      </c>
      <c r="K173" s="49">
        <v>1900</v>
      </c>
      <c r="L173" s="52">
        <v>9</v>
      </c>
      <c r="M173" s="53">
        <v>12</v>
      </c>
      <c r="N173" s="53">
        <v>2.2000000000000002</v>
      </c>
      <c r="O173" s="52">
        <v>0.93</v>
      </c>
      <c r="P173" s="52">
        <v>0.56000000000000005</v>
      </c>
      <c r="Q173" s="52">
        <v>10000</v>
      </c>
      <c r="R173" s="52">
        <v>1</v>
      </c>
      <c r="S173" s="52">
        <v>120</v>
      </c>
      <c r="T173" s="58"/>
      <c r="U173" s="58"/>
      <c r="V173" s="58"/>
      <c r="W173" s="52"/>
      <c r="X173" s="52"/>
      <c r="Y173" s="52" t="s">
        <v>65</v>
      </c>
      <c r="Z173" s="52" t="s">
        <v>71</v>
      </c>
      <c r="AA173" s="49">
        <v>2000</v>
      </c>
      <c r="AB173" s="77">
        <v>85</v>
      </c>
    </row>
    <row r="174" spans="2:29" x14ac:dyDescent="0.2">
      <c r="B174" s="76" t="s">
        <v>232</v>
      </c>
      <c r="C174" s="52" t="s">
        <v>74</v>
      </c>
      <c r="D174" s="201" t="s">
        <v>74</v>
      </c>
      <c r="E174" s="53">
        <v>5.2</v>
      </c>
      <c r="F174" s="52">
        <v>2200</v>
      </c>
      <c r="G174" s="52">
        <v>0.123</v>
      </c>
      <c r="H174" s="52"/>
      <c r="I174" s="52"/>
      <c r="J174" s="49">
        <v>1765</v>
      </c>
      <c r="K174" s="49">
        <v>1765</v>
      </c>
      <c r="L174" s="52">
        <v>7</v>
      </c>
      <c r="M174" s="53">
        <v>11.995464852607709</v>
      </c>
      <c r="N174" s="53">
        <v>6.046863189720332E-2</v>
      </c>
      <c r="O174" s="52">
        <v>0.93</v>
      </c>
      <c r="P174" s="52">
        <v>0.56000000000000005</v>
      </c>
      <c r="Q174" s="52">
        <v>10000</v>
      </c>
      <c r="R174" s="52">
        <v>1</v>
      </c>
      <c r="S174" s="52">
        <v>120</v>
      </c>
      <c r="T174" s="58">
        <v>2600000</v>
      </c>
      <c r="U174" s="58"/>
      <c r="V174" s="58"/>
      <c r="W174" s="52">
        <v>15</v>
      </c>
      <c r="X174" s="52">
        <v>20</v>
      </c>
      <c r="Y174" s="52" t="s">
        <v>75</v>
      </c>
      <c r="Z174" s="52" t="s">
        <v>76</v>
      </c>
      <c r="AA174" s="49">
        <v>2000</v>
      </c>
      <c r="AB174" s="77">
        <v>85</v>
      </c>
    </row>
    <row r="175" spans="2:29" x14ac:dyDescent="0.2">
      <c r="B175" s="76" t="s">
        <v>232</v>
      </c>
      <c r="C175" s="52" t="s">
        <v>77</v>
      </c>
      <c r="D175" s="201" t="s">
        <v>78</v>
      </c>
      <c r="E175" s="53">
        <v>9.2630385487528351</v>
      </c>
      <c r="F175" s="52">
        <v>4500</v>
      </c>
      <c r="G175" s="52">
        <v>0.29399999999999998</v>
      </c>
      <c r="H175" s="52"/>
      <c r="I175" s="52"/>
      <c r="J175" s="49">
        <v>1844</v>
      </c>
      <c r="K175" s="49">
        <v>1844</v>
      </c>
      <c r="L175" s="52">
        <v>7</v>
      </c>
      <c r="M175" s="53">
        <v>11.995464852607709</v>
      </c>
      <c r="N175" s="53">
        <v>6.046863189720332E-2</v>
      </c>
      <c r="O175" s="52">
        <v>0.93</v>
      </c>
      <c r="P175" s="52">
        <v>0.56000000000000005</v>
      </c>
      <c r="Q175" s="52">
        <v>10000</v>
      </c>
      <c r="R175" s="52">
        <v>1</v>
      </c>
      <c r="S175" s="52">
        <v>120</v>
      </c>
      <c r="T175" s="58"/>
      <c r="U175" s="58"/>
      <c r="V175" s="58"/>
      <c r="W175" s="52"/>
      <c r="X175" s="52"/>
      <c r="Y175" s="52" t="s">
        <v>79</v>
      </c>
      <c r="Z175" s="52" t="s">
        <v>80</v>
      </c>
      <c r="AA175" s="49">
        <v>2000</v>
      </c>
      <c r="AB175" s="77">
        <v>85</v>
      </c>
    </row>
    <row r="176" spans="2:29" x14ac:dyDescent="0.2">
      <c r="B176" s="76" t="s">
        <v>232</v>
      </c>
      <c r="C176" s="52" t="s">
        <v>81</v>
      </c>
      <c r="D176" s="201" t="s">
        <v>78</v>
      </c>
      <c r="E176" s="53">
        <v>9.2630385487528351</v>
      </c>
      <c r="F176" s="52">
        <v>3000</v>
      </c>
      <c r="G176" s="52">
        <v>0.161</v>
      </c>
      <c r="H176" s="52"/>
      <c r="I176" s="52"/>
      <c r="J176" s="49">
        <v>1880</v>
      </c>
      <c r="K176" s="49">
        <v>1880</v>
      </c>
      <c r="L176" s="52">
        <v>7</v>
      </c>
      <c r="M176" s="53">
        <v>11.995464852607709</v>
      </c>
      <c r="N176" s="53">
        <v>9.0702947845804974E-2</v>
      </c>
      <c r="O176" s="52">
        <v>0.93</v>
      </c>
      <c r="P176" s="52">
        <v>0.56000000000000005</v>
      </c>
      <c r="Q176" s="52">
        <v>10000</v>
      </c>
      <c r="R176" s="52">
        <v>1</v>
      </c>
      <c r="S176" s="52">
        <v>120</v>
      </c>
      <c r="T176" s="58"/>
      <c r="U176" s="58"/>
      <c r="V176" s="58"/>
      <c r="W176" s="52"/>
      <c r="X176" s="52"/>
      <c r="Y176" s="52" t="s">
        <v>79</v>
      </c>
      <c r="Z176" s="52" t="s">
        <v>82</v>
      </c>
      <c r="AA176" s="49">
        <v>2000</v>
      </c>
      <c r="AB176" s="77">
        <v>85</v>
      </c>
    </row>
    <row r="177" spans="2:28" x14ac:dyDescent="0.2">
      <c r="B177" s="76" t="s">
        <v>232</v>
      </c>
      <c r="C177" s="52" t="s">
        <v>100</v>
      </c>
      <c r="D177" s="201" t="s">
        <v>101</v>
      </c>
      <c r="E177" s="53">
        <v>2.4400000000000004</v>
      </c>
      <c r="F177" s="52">
        <v>275</v>
      </c>
      <c r="G177" s="52">
        <v>1.2200000000000001E-2</v>
      </c>
      <c r="H177" s="52"/>
      <c r="I177" s="52"/>
      <c r="J177" s="49">
        <v>1390</v>
      </c>
      <c r="K177" s="49">
        <v>1390</v>
      </c>
      <c r="L177" s="52">
        <v>6</v>
      </c>
      <c r="M177" s="53">
        <v>3.66</v>
      </c>
      <c r="N177" s="53">
        <v>2.2000000000000002</v>
      </c>
      <c r="O177" s="52">
        <v>0.93</v>
      </c>
      <c r="P177" s="52">
        <v>0.52</v>
      </c>
      <c r="Q177" s="52">
        <v>1000</v>
      </c>
      <c r="R177" s="52">
        <v>1</v>
      </c>
      <c r="S177" s="52">
        <v>10</v>
      </c>
      <c r="T177" s="58"/>
      <c r="U177" s="58"/>
      <c r="V177" s="58"/>
      <c r="W177" s="52"/>
      <c r="X177" s="52"/>
      <c r="Y177" s="52" t="s">
        <v>102</v>
      </c>
      <c r="Z177" s="52" t="s">
        <v>103</v>
      </c>
      <c r="AA177" s="49">
        <v>2000</v>
      </c>
      <c r="AB177" s="77">
        <v>85</v>
      </c>
    </row>
    <row r="178" spans="2:28" x14ac:dyDescent="0.2">
      <c r="B178" s="76" t="s">
        <v>231</v>
      </c>
      <c r="C178" s="52" t="s">
        <v>83</v>
      </c>
      <c r="D178" s="201" t="s">
        <v>84</v>
      </c>
      <c r="E178" s="53">
        <v>11</v>
      </c>
      <c r="F178" s="52">
        <v>500</v>
      </c>
      <c r="G178" s="52">
        <v>0.02</v>
      </c>
      <c r="H178" s="52"/>
      <c r="I178" s="52"/>
      <c r="J178" s="49">
        <v>3300</v>
      </c>
      <c r="K178" s="49">
        <v>3300</v>
      </c>
      <c r="L178" s="52">
        <v>9</v>
      </c>
      <c r="M178" s="53">
        <v>6.8</v>
      </c>
      <c r="N178" s="53">
        <v>3.7</v>
      </c>
      <c r="O178" s="52">
        <v>0.88</v>
      </c>
      <c r="P178" s="52">
        <v>0.55000000000000004</v>
      </c>
      <c r="Q178" s="52">
        <v>10000</v>
      </c>
      <c r="R178" s="52">
        <v>1</v>
      </c>
      <c r="S178" s="52">
        <v>120</v>
      </c>
      <c r="T178" s="58"/>
      <c r="U178" s="58"/>
      <c r="V178" s="58"/>
      <c r="W178" s="52"/>
      <c r="X178" s="52"/>
      <c r="Y178" s="52" t="s">
        <v>79</v>
      </c>
      <c r="Z178" s="52" t="s">
        <v>85</v>
      </c>
      <c r="AA178" s="49">
        <v>2000</v>
      </c>
      <c r="AB178" s="77">
        <v>85</v>
      </c>
    </row>
    <row r="179" spans="2:28" x14ac:dyDescent="0.2">
      <c r="B179" s="76" t="s">
        <v>231</v>
      </c>
      <c r="C179" s="52" t="s">
        <v>86</v>
      </c>
      <c r="D179" s="201" t="s">
        <v>87</v>
      </c>
      <c r="E179" s="53">
        <v>5</v>
      </c>
      <c r="F179" s="52">
        <v>500</v>
      </c>
      <c r="G179" s="52">
        <v>1.7999999999999999E-2</v>
      </c>
      <c r="H179" s="52"/>
      <c r="I179" s="52"/>
      <c r="J179" s="49">
        <v>2500</v>
      </c>
      <c r="K179" s="49">
        <v>2500</v>
      </c>
      <c r="L179" s="52">
        <v>9</v>
      </c>
      <c r="M179" s="53">
        <v>6.8</v>
      </c>
      <c r="N179" s="53">
        <v>3.7</v>
      </c>
      <c r="O179" s="52">
        <v>0.88</v>
      </c>
      <c r="P179" s="52">
        <v>0.51</v>
      </c>
      <c r="Q179" s="52">
        <v>12000</v>
      </c>
      <c r="R179" s="52">
        <v>1</v>
      </c>
      <c r="S179" s="52">
        <v>120</v>
      </c>
      <c r="T179" s="58"/>
      <c r="U179" s="58"/>
      <c r="V179" s="58"/>
      <c r="W179" s="52"/>
      <c r="X179" s="52"/>
      <c r="Y179" s="52" t="s">
        <v>88</v>
      </c>
      <c r="Z179" s="52" t="s">
        <v>89</v>
      </c>
      <c r="AA179" s="52">
        <v>2000</v>
      </c>
      <c r="AB179" s="77">
        <v>85</v>
      </c>
    </row>
    <row r="180" spans="2:28" x14ac:dyDescent="0.2">
      <c r="B180" s="76" t="s">
        <v>231</v>
      </c>
      <c r="C180" s="52" t="s">
        <v>90</v>
      </c>
      <c r="D180" s="201" t="s">
        <v>91</v>
      </c>
      <c r="E180" s="53">
        <v>7</v>
      </c>
      <c r="F180" s="52">
        <v>4200</v>
      </c>
      <c r="G180" s="52">
        <v>0.16500000000000001</v>
      </c>
      <c r="H180" s="52"/>
      <c r="I180" s="52"/>
      <c r="J180" s="49">
        <v>3500</v>
      </c>
      <c r="K180" s="49">
        <v>3500</v>
      </c>
      <c r="L180" s="52">
        <v>9</v>
      </c>
      <c r="M180" s="53">
        <v>11</v>
      </c>
      <c r="N180" s="53">
        <v>3.7</v>
      </c>
      <c r="O180" s="52">
        <v>0.9</v>
      </c>
      <c r="P180" s="52">
        <v>0.65</v>
      </c>
      <c r="Q180" s="52">
        <v>4350</v>
      </c>
      <c r="R180" s="52">
        <v>1</v>
      </c>
      <c r="S180" s="52">
        <v>120</v>
      </c>
      <c r="T180" s="58"/>
      <c r="U180" s="58"/>
      <c r="V180" s="58"/>
      <c r="W180" s="52"/>
      <c r="X180" s="52"/>
      <c r="Y180" s="52" t="s">
        <v>92</v>
      </c>
      <c r="Z180" s="52" t="s">
        <v>93</v>
      </c>
      <c r="AA180" s="52">
        <v>2000</v>
      </c>
      <c r="AB180" s="77">
        <v>85</v>
      </c>
    </row>
    <row r="181" spans="2:28" x14ac:dyDescent="0.2">
      <c r="B181" s="76" t="s">
        <v>231</v>
      </c>
      <c r="C181" s="52" t="s">
        <v>94</v>
      </c>
      <c r="D181" s="201" t="s">
        <v>91</v>
      </c>
      <c r="E181" s="53">
        <v>7</v>
      </c>
      <c r="F181" s="52">
        <v>2000</v>
      </c>
      <c r="G181" s="52">
        <v>7.9000000000000001E-2</v>
      </c>
      <c r="H181" s="52"/>
      <c r="I181" s="52"/>
      <c r="J181" s="49">
        <v>3400</v>
      </c>
      <c r="K181" s="49">
        <v>3400</v>
      </c>
      <c r="L181" s="52">
        <v>9</v>
      </c>
      <c r="M181" s="53">
        <v>11</v>
      </c>
      <c r="N181" s="53">
        <v>3.7</v>
      </c>
      <c r="O181" s="52">
        <v>0.9</v>
      </c>
      <c r="P181" s="52">
        <v>0.65</v>
      </c>
      <c r="Q181" s="52">
        <v>4350</v>
      </c>
      <c r="R181" s="52">
        <v>1</v>
      </c>
      <c r="S181" s="52">
        <v>120</v>
      </c>
      <c r="T181" s="58"/>
      <c r="U181" s="58"/>
      <c r="V181" s="58"/>
      <c r="W181" s="52"/>
      <c r="X181" s="52"/>
      <c r="Y181" s="52" t="s">
        <v>92</v>
      </c>
      <c r="Z181" s="52" t="s">
        <v>95</v>
      </c>
      <c r="AA181" s="52">
        <v>2000</v>
      </c>
      <c r="AB181" s="77">
        <v>85</v>
      </c>
    </row>
    <row r="182" spans="2:28" x14ac:dyDescent="0.2">
      <c r="B182" s="76" t="s">
        <v>231</v>
      </c>
      <c r="C182" s="52" t="s">
        <v>96</v>
      </c>
      <c r="D182" s="201" t="s">
        <v>97</v>
      </c>
      <c r="E182" s="53">
        <v>7</v>
      </c>
      <c r="F182" s="52">
        <v>2291</v>
      </c>
      <c r="G182" s="52">
        <v>9.1999999999999998E-2</v>
      </c>
      <c r="H182" s="52"/>
      <c r="I182" s="52"/>
      <c r="J182" s="49">
        <v>3114</v>
      </c>
      <c r="K182" s="49">
        <v>3114</v>
      </c>
      <c r="L182" s="52">
        <v>9</v>
      </c>
      <c r="M182" s="53">
        <v>11</v>
      </c>
      <c r="N182" s="53">
        <v>3.7</v>
      </c>
      <c r="O182" s="52">
        <v>0.9</v>
      </c>
      <c r="P182" s="52">
        <v>0.65</v>
      </c>
      <c r="Q182" s="52">
        <v>10000</v>
      </c>
      <c r="R182" s="52">
        <v>1</v>
      </c>
      <c r="S182" s="52">
        <v>120</v>
      </c>
      <c r="T182" s="58"/>
      <c r="U182" s="58"/>
      <c r="V182" s="58"/>
      <c r="W182" s="52"/>
      <c r="X182" s="52"/>
      <c r="Y182" s="52" t="s">
        <v>98</v>
      </c>
      <c r="Z182" s="52" t="s">
        <v>99</v>
      </c>
      <c r="AA182" s="52">
        <v>2000</v>
      </c>
      <c r="AB182" s="77">
        <v>85</v>
      </c>
    </row>
    <row r="183" spans="2:28" x14ac:dyDescent="0.2">
      <c r="B183" s="76" t="s">
        <v>104</v>
      </c>
      <c r="C183" s="52" t="s">
        <v>105</v>
      </c>
      <c r="D183" s="201" t="s">
        <v>105</v>
      </c>
      <c r="E183" s="53">
        <v>7.33</v>
      </c>
      <c r="F183" s="52">
        <v>50</v>
      </c>
      <c r="G183" s="52">
        <v>5.9999999999999995E-4</v>
      </c>
      <c r="H183" s="52"/>
      <c r="I183" s="52"/>
      <c r="J183" s="49">
        <v>1075</v>
      </c>
      <c r="K183" s="49">
        <v>1075</v>
      </c>
      <c r="L183" s="52">
        <v>6</v>
      </c>
      <c r="M183" s="53"/>
      <c r="N183" s="53"/>
      <c r="O183" s="52"/>
      <c r="P183" s="52"/>
      <c r="Q183" s="52"/>
      <c r="R183" s="52"/>
      <c r="S183" s="52">
        <v>5</v>
      </c>
      <c r="T183" s="58"/>
      <c r="U183" s="58"/>
      <c r="V183" s="58"/>
      <c r="W183" s="52"/>
      <c r="X183" s="52"/>
      <c r="Y183" s="52" t="s">
        <v>106</v>
      </c>
      <c r="Z183" s="49" t="s">
        <v>107</v>
      </c>
      <c r="AA183" s="52">
        <v>2000</v>
      </c>
      <c r="AB183" s="77"/>
    </row>
    <row r="184" spans="2:28" x14ac:dyDescent="0.2">
      <c r="B184" s="76" t="s">
        <v>104</v>
      </c>
      <c r="C184" s="52" t="s">
        <v>108</v>
      </c>
      <c r="D184" s="201" t="s">
        <v>109</v>
      </c>
      <c r="E184" s="53">
        <v>4.74</v>
      </c>
      <c r="F184" s="52">
        <v>100</v>
      </c>
      <c r="G184" s="52">
        <v>2.4E-2</v>
      </c>
      <c r="H184" s="52"/>
      <c r="I184" s="52"/>
      <c r="J184" s="49">
        <v>1350</v>
      </c>
      <c r="K184" s="49">
        <v>1350</v>
      </c>
      <c r="L184" s="52">
        <v>7</v>
      </c>
      <c r="M184" s="53"/>
      <c r="N184" s="53"/>
      <c r="O184" s="52"/>
      <c r="P184" s="52"/>
      <c r="Q184" s="52"/>
      <c r="R184" s="52"/>
      <c r="S184" s="52">
        <v>5</v>
      </c>
      <c r="T184" s="58">
        <v>15600</v>
      </c>
      <c r="U184" s="58"/>
      <c r="V184" s="58">
        <v>20000000</v>
      </c>
      <c r="W184" s="52">
        <v>12.1</v>
      </c>
      <c r="X184" s="52">
        <v>28.7</v>
      </c>
      <c r="Y184" s="52" t="s">
        <v>110</v>
      </c>
      <c r="Z184" s="49" t="s">
        <v>76</v>
      </c>
      <c r="AA184" s="52">
        <v>2000</v>
      </c>
      <c r="AB184" s="77"/>
    </row>
    <row r="185" spans="2:28" ht="13.5" thickBot="1" x14ac:dyDescent="0.25">
      <c r="B185" s="78" t="s">
        <v>337</v>
      </c>
      <c r="C185" s="66" t="s">
        <v>338</v>
      </c>
      <c r="D185" s="202" t="s">
        <v>339</v>
      </c>
      <c r="E185" s="68">
        <v>15.9</v>
      </c>
      <c r="F185" s="66">
        <v>4500</v>
      </c>
      <c r="G185" s="66">
        <v>0.16500000000000001</v>
      </c>
      <c r="H185" s="79"/>
      <c r="I185" s="79"/>
      <c r="J185" s="63">
        <v>3500</v>
      </c>
      <c r="K185" s="79"/>
      <c r="L185" s="79"/>
      <c r="M185" s="79"/>
      <c r="N185" s="79"/>
      <c r="O185" s="79"/>
      <c r="P185" s="79"/>
      <c r="Q185" s="79"/>
      <c r="R185" s="79"/>
      <c r="S185" s="79"/>
      <c r="T185" s="79"/>
      <c r="U185" s="79"/>
      <c r="V185" s="79"/>
      <c r="W185" s="79"/>
      <c r="X185" s="79"/>
      <c r="Y185" s="79"/>
      <c r="Z185" s="79"/>
      <c r="AA185" s="79"/>
      <c r="AB185" s="80"/>
    </row>
    <row r="187" spans="2:28" ht="21" thickBot="1" x14ac:dyDescent="0.35">
      <c r="B187" s="21" t="s">
        <v>396</v>
      </c>
    </row>
    <row r="188" spans="2:28" ht="51" x14ac:dyDescent="0.2">
      <c r="B188" s="222" t="s">
        <v>346</v>
      </c>
      <c r="C188" s="222" t="s">
        <v>347</v>
      </c>
      <c r="D188" s="222" t="s">
        <v>398</v>
      </c>
      <c r="E188" s="222" t="s">
        <v>397</v>
      </c>
      <c r="F188" s="222" t="s">
        <v>348</v>
      </c>
      <c r="G188" s="222" t="s">
        <v>349</v>
      </c>
      <c r="H188" s="222" t="s">
        <v>350</v>
      </c>
      <c r="I188" s="222" t="s">
        <v>19</v>
      </c>
      <c r="J188" s="222"/>
    </row>
    <row r="189" spans="2:28" x14ac:dyDescent="0.2">
      <c r="B189" s="81" t="s">
        <v>501</v>
      </c>
      <c r="C189" s="82">
        <v>2700</v>
      </c>
      <c r="D189" s="82">
        <v>68</v>
      </c>
      <c r="E189" s="82">
        <v>276</v>
      </c>
      <c r="F189" s="82">
        <v>23.6</v>
      </c>
      <c r="G189" s="82">
        <v>186</v>
      </c>
      <c r="H189" s="82">
        <v>97</v>
      </c>
      <c r="I189" s="229" t="s">
        <v>351</v>
      </c>
      <c r="J189" s="230"/>
    </row>
    <row r="190" spans="2:28" x14ac:dyDescent="0.2">
      <c r="B190" s="81" t="s">
        <v>502</v>
      </c>
      <c r="C190" s="82">
        <v>2800</v>
      </c>
      <c r="D190" s="82">
        <v>71</v>
      </c>
      <c r="E190" s="82">
        <v>503</v>
      </c>
      <c r="F190" s="82">
        <v>23.4</v>
      </c>
      <c r="G190" s="82">
        <v>24</v>
      </c>
      <c r="H190" s="82">
        <v>159</v>
      </c>
      <c r="I190" s="229" t="s">
        <v>352</v>
      </c>
      <c r="J190" s="230"/>
    </row>
    <row r="191" spans="2:28" x14ac:dyDescent="0.2">
      <c r="B191" s="81" t="s">
        <v>353</v>
      </c>
      <c r="C191" s="82">
        <v>1700</v>
      </c>
      <c r="D191" s="82">
        <v>45</v>
      </c>
      <c r="E191" s="82">
        <v>220</v>
      </c>
      <c r="F191" s="82">
        <v>26</v>
      </c>
      <c r="G191" s="82"/>
      <c r="H191" s="82"/>
      <c r="I191" s="229" t="s">
        <v>354</v>
      </c>
      <c r="J191" s="230"/>
    </row>
    <row r="192" spans="2:28" x14ac:dyDescent="0.2">
      <c r="B192" s="81" t="s">
        <v>355</v>
      </c>
      <c r="C192" s="82">
        <v>1700</v>
      </c>
      <c r="D192" s="82">
        <v>45</v>
      </c>
      <c r="E192" s="82">
        <v>234</v>
      </c>
      <c r="F192" s="82">
        <v>26</v>
      </c>
      <c r="G192" s="82"/>
      <c r="H192" s="82">
        <v>124</v>
      </c>
      <c r="I192" s="229"/>
      <c r="J192" s="230"/>
    </row>
    <row r="193" spans="2:10" x14ac:dyDescent="0.2">
      <c r="B193" s="81" t="s">
        <v>356</v>
      </c>
      <c r="C193" s="82">
        <v>4400</v>
      </c>
      <c r="D193" s="82">
        <v>110</v>
      </c>
      <c r="E193" s="82">
        <v>825</v>
      </c>
      <c r="F193" s="82">
        <v>9</v>
      </c>
      <c r="G193" s="82">
        <v>75</v>
      </c>
      <c r="H193" s="82">
        <v>500</v>
      </c>
      <c r="I193" s="229"/>
      <c r="J193" s="230"/>
    </row>
    <row r="194" spans="2:10" x14ac:dyDescent="0.2">
      <c r="B194" s="81" t="s">
        <v>357</v>
      </c>
      <c r="C194" s="82">
        <v>2000</v>
      </c>
      <c r="D194" s="82">
        <v>304</v>
      </c>
      <c r="E194" s="82">
        <v>207</v>
      </c>
      <c r="F194" s="82">
        <v>11.5</v>
      </c>
      <c r="G194" s="82"/>
      <c r="H194" s="82"/>
      <c r="I194" s="229"/>
      <c r="J194" s="230"/>
    </row>
    <row r="195" spans="2:10" x14ac:dyDescent="0.2">
      <c r="B195" s="81" t="s">
        <v>358</v>
      </c>
      <c r="C195" s="82">
        <v>2000</v>
      </c>
      <c r="D195" s="82">
        <v>304</v>
      </c>
      <c r="E195" s="82">
        <v>345</v>
      </c>
      <c r="F195" s="82">
        <v>11.5</v>
      </c>
      <c r="G195" s="82"/>
      <c r="H195" s="82"/>
      <c r="I195" s="229"/>
      <c r="J195" s="230"/>
    </row>
    <row r="196" spans="2:10" x14ac:dyDescent="0.2">
      <c r="B196" s="81" t="s">
        <v>359</v>
      </c>
      <c r="C196" s="82">
        <v>7700</v>
      </c>
      <c r="D196" s="82">
        <v>200</v>
      </c>
      <c r="E196" s="82">
        <v>1034</v>
      </c>
      <c r="F196" s="82">
        <v>11.9</v>
      </c>
      <c r="G196" s="83" t="s">
        <v>360</v>
      </c>
      <c r="H196" s="82">
        <v>550</v>
      </c>
      <c r="I196" s="229" t="s">
        <v>361</v>
      </c>
      <c r="J196" s="230"/>
    </row>
    <row r="197" spans="2:10" x14ac:dyDescent="0.2">
      <c r="B197" s="81" t="s">
        <v>362</v>
      </c>
      <c r="C197" s="82">
        <v>7800</v>
      </c>
      <c r="D197" s="82">
        <v>193</v>
      </c>
      <c r="E197" s="82">
        <v>170</v>
      </c>
      <c r="F197" s="82">
        <v>17.2</v>
      </c>
      <c r="G197" s="83" t="s">
        <v>360</v>
      </c>
      <c r="H197" s="82"/>
      <c r="I197" s="229" t="s">
        <v>363</v>
      </c>
      <c r="J197" s="230"/>
    </row>
    <row r="198" spans="2:10" x14ac:dyDescent="0.2">
      <c r="B198" s="81" t="s">
        <v>364</v>
      </c>
      <c r="C198" s="82">
        <v>1380</v>
      </c>
      <c r="D198" s="82">
        <v>76</v>
      </c>
      <c r="E198" s="82">
        <v>1379</v>
      </c>
      <c r="F198" s="82">
        <v>-4</v>
      </c>
      <c r="G198" s="82"/>
      <c r="H198" s="82"/>
      <c r="I198" s="229" t="s">
        <v>365</v>
      </c>
      <c r="J198" s="230"/>
    </row>
    <row r="199" spans="2:10" x14ac:dyDescent="0.2">
      <c r="B199" s="81" t="s">
        <v>366</v>
      </c>
      <c r="C199" s="82">
        <v>1380</v>
      </c>
      <c r="D199" s="82">
        <v>5.5</v>
      </c>
      <c r="E199" s="82">
        <v>29.6</v>
      </c>
      <c r="F199" s="82">
        <v>57</v>
      </c>
      <c r="G199" s="82"/>
      <c r="H199" s="82"/>
      <c r="I199" s="229" t="s">
        <v>367</v>
      </c>
      <c r="J199" s="230"/>
    </row>
    <row r="200" spans="2:10" ht="13.5" thickBot="1" x14ac:dyDescent="0.25">
      <c r="B200" s="84" t="s">
        <v>368</v>
      </c>
      <c r="C200" s="85">
        <v>1620</v>
      </c>
      <c r="D200" s="85">
        <v>282</v>
      </c>
      <c r="E200" s="85">
        <v>586</v>
      </c>
      <c r="F200" s="86" t="s">
        <v>369</v>
      </c>
      <c r="G200" s="85"/>
      <c r="H200" s="85"/>
      <c r="I200" s="239" t="s">
        <v>370</v>
      </c>
      <c r="J200" s="240"/>
    </row>
  </sheetData>
  <mergeCells count="17">
    <mergeCell ref="I196:J196"/>
    <mergeCell ref="I197:J197"/>
    <mergeCell ref="I198:J198"/>
    <mergeCell ref="I199:J199"/>
    <mergeCell ref="I200:J200"/>
    <mergeCell ref="I195:J195"/>
    <mergeCell ref="I75:N75"/>
    <mergeCell ref="I76:N76"/>
    <mergeCell ref="I77:N77"/>
    <mergeCell ref="I78:N78"/>
    <mergeCell ref="I79:N79"/>
    <mergeCell ref="I189:J189"/>
    <mergeCell ref="I190:J190"/>
    <mergeCell ref="I191:J191"/>
    <mergeCell ref="I192:J192"/>
    <mergeCell ref="I193:J193"/>
    <mergeCell ref="I194:J194"/>
  </mergeCells>
  <pageMargins left="0.75" right="0.75" top="1" bottom="1" header="0.5" footer="0.5"/>
  <pageSetup orientation="portrait" horizontalDpi="12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6625" r:id="rId4" name="Drop Down 1">
              <controlPr defaultSize="0" autoLine="0" autoPict="0">
                <anchor moveWithCells="1">
                  <from>
                    <xdr:col>2</xdr:col>
                    <xdr:colOff>28575</xdr:colOff>
                    <xdr:row>13</xdr:row>
                    <xdr:rowOff>0</xdr:rowOff>
                  </from>
                  <to>
                    <xdr:col>2</xdr:col>
                    <xdr:colOff>1133475</xdr:colOff>
                    <xdr:row>14</xdr:row>
                    <xdr:rowOff>9525</xdr:rowOff>
                  </to>
                </anchor>
              </controlPr>
            </control>
          </mc:Choice>
        </mc:AlternateContent>
        <mc:AlternateContent xmlns:mc="http://schemas.openxmlformats.org/markup-compatibility/2006">
          <mc:Choice Requires="x14">
            <control shapeId="26626" r:id="rId5" name="Drop Down 2">
              <controlPr defaultSize="0" autoLine="0" autoPict="0">
                <anchor moveWithCells="1">
                  <from>
                    <xdr:col>6</xdr:col>
                    <xdr:colOff>9525</xdr:colOff>
                    <xdr:row>16</xdr:row>
                    <xdr:rowOff>9525</xdr:rowOff>
                  </from>
                  <to>
                    <xdr:col>6</xdr:col>
                    <xdr:colOff>1866900</xdr:colOff>
                    <xdr:row>17</xdr:row>
                    <xdr:rowOff>28575</xdr:rowOff>
                  </to>
                </anchor>
              </controlPr>
            </control>
          </mc:Choice>
        </mc:AlternateContent>
        <mc:AlternateContent xmlns:mc="http://schemas.openxmlformats.org/markup-compatibility/2006">
          <mc:Choice Requires="x14">
            <control shapeId="26627" r:id="rId6" name="Drop Down 3">
              <controlPr defaultSize="0" autoLine="0" autoPict="0">
                <anchor moveWithCells="1">
                  <from>
                    <xdr:col>1</xdr:col>
                    <xdr:colOff>2095500</xdr:colOff>
                    <xdr:row>29</xdr:row>
                    <xdr:rowOff>190500</xdr:rowOff>
                  </from>
                  <to>
                    <xdr:col>2</xdr:col>
                    <xdr:colOff>1133475</xdr:colOff>
                    <xdr:row>30</xdr:row>
                    <xdr:rowOff>180975</xdr:rowOff>
                  </to>
                </anchor>
              </controlPr>
            </control>
          </mc:Choice>
        </mc:AlternateContent>
        <mc:AlternateContent xmlns:mc="http://schemas.openxmlformats.org/markup-compatibility/2006">
          <mc:Choice Requires="x14">
            <control shapeId="26628" r:id="rId7" name="Drop Down 4">
              <controlPr defaultSize="0" autoLine="0" autoPict="0">
                <anchor moveWithCells="1">
                  <from>
                    <xdr:col>1</xdr:col>
                    <xdr:colOff>9525</xdr:colOff>
                    <xdr:row>59</xdr:row>
                    <xdr:rowOff>0</xdr:rowOff>
                  </from>
                  <to>
                    <xdr:col>1</xdr:col>
                    <xdr:colOff>1990725</xdr:colOff>
                    <xdr:row>60</xdr:row>
                    <xdr:rowOff>0</xdr:rowOff>
                  </to>
                </anchor>
              </controlPr>
            </control>
          </mc:Choice>
        </mc:AlternateContent>
        <mc:AlternateContent xmlns:mc="http://schemas.openxmlformats.org/markup-compatibility/2006">
          <mc:Choice Requires="x14">
            <control shapeId="26629" r:id="rId8" name="Button 5">
              <controlPr defaultSize="0" print="0" autoFill="0" autoPict="0" macro="[0]!SpiralObitGoalSeek">
                <anchor moveWithCells="1" sizeWithCells="1">
                  <from>
                    <xdr:col>16</xdr:col>
                    <xdr:colOff>76200</xdr:colOff>
                    <xdr:row>20</xdr:row>
                    <xdr:rowOff>0</xdr:rowOff>
                  </from>
                  <to>
                    <xdr:col>17</xdr:col>
                    <xdr:colOff>533400</xdr:colOff>
                    <xdr:row>21</xdr:row>
                    <xdr:rowOff>190500</xdr:rowOff>
                  </to>
                </anchor>
              </controlPr>
            </control>
          </mc:Choice>
        </mc:AlternateContent>
        <mc:AlternateContent xmlns:mc="http://schemas.openxmlformats.org/markup-compatibility/2006">
          <mc:Choice Requires="x14">
            <control shapeId="26630" r:id="rId9" name="Button 6">
              <controlPr defaultSize="0" print="0" autoFill="0" autoPict="0" macro="[0]!ElectricPropulsionTable">
                <anchor moveWithCells="1">
                  <from>
                    <xdr:col>6</xdr:col>
                    <xdr:colOff>457200</xdr:colOff>
                    <xdr:row>33</xdr:row>
                    <xdr:rowOff>9525</xdr:rowOff>
                  </from>
                  <to>
                    <xdr:col>6</xdr:col>
                    <xdr:colOff>1819275</xdr:colOff>
                    <xdr:row>34</xdr:row>
                    <xdr:rowOff>114300</xdr:rowOff>
                  </to>
                </anchor>
              </controlPr>
            </control>
          </mc:Choice>
        </mc:AlternateContent>
        <mc:AlternateContent xmlns:mc="http://schemas.openxmlformats.org/markup-compatibility/2006">
          <mc:Choice Requires="x14">
            <control shapeId="26631" r:id="rId10" name="Button 7">
              <controlPr defaultSize="0" print="0" autoFill="0" autoPict="0" macro="[0]!ElectricPropulsionTable2">
                <anchor moveWithCells="1">
                  <from>
                    <xdr:col>12</xdr:col>
                    <xdr:colOff>695325</xdr:colOff>
                    <xdr:row>33</xdr:row>
                    <xdr:rowOff>19050</xdr:rowOff>
                  </from>
                  <to>
                    <xdr:col>13</xdr:col>
                    <xdr:colOff>504825</xdr:colOff>
                    <xdr:row>34</xdr:row>
                    <xdr:rowOff>123825</xdr:rowOff>
                  </to>
                </anchor>
              </controlPr>
            </control>
          </mc:Choice>
        </mc:AlternateContent>
        <mc:AlternateContent xmlns:mc="http://schemas.openxmlformats.org/markup-compatibility/2006">
          <mc:Choice Requires="x14">
            <control shapeId="26632" r:id="rId11" name="Button 8">
              <controlPr defaultSize="0" print="0" autoFill="0" autoPict="0" macro="[0]!Test">
                <anchor moveWithCells="1">
                  <from>
                    <xdr:col>19</xdr:col>
                    <xdr:colOff>714375</xdr:colOff>
                    <xdr:row>31</xdr:row>
                    <xdr:rowOff>28575</xdr:rowOff>
                  </from>
                  <to>
                    <xdr:col>20</xdr:col>
                    <xdr:colOff>1000125</xdr:colOff>
                    <xdr:row>33</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AD200"/>
  <sheetViews>
    <sheetView topLeftCell="A7" zoomScaleNormal="100" workbookViewId="0">
      <selection activeCell="I22" sqref="I22"/>
    </sheetView>
  </sheetViews>
  <sheetFormatPr defaultColWidth="8.85546875" defaultRowHeight="12.75" x14ac:dyDescent="0.2"/>
  <cols>
    <col min="1" max="1" width="4" customWidth="1"/>
    <col min="2" max="2" width="33.5703125" customWidth="1"/>
    <col min="3" max="3" width="17" customWidth="1"/>
    <col min="4" max="4" width="17.5703125" customWidth="1"/>
    <col min="5" max="6" width="10.42578125" customWidth="1"/>
    <col min="7" max="7" width="33.42578125" customWidth="1"/>
    <col min="8" max="8" width="10.42578125" customWidth="1"/>
    <col min="9" max="9" width="11.5703125" customWidth="1"/>
    <col min="10" max="10" width="10.85546875" customWidth="1"/>
    <col min="11" max="12" width="8.42578125" customWidth="1"/>
    <col min="13" max="13" width="21.5703125" customWidth="1"/>
    <col min="14" max="14" width="11.5703125" customWidth="1"/>
    <col min="15" max="15" width="13.42578125" customWidth="1"/>
    <col min="16" max="16" width="9.85546875" customWidth="1"/>
    <col min="19" max="19" width="17" customWidth="1"/>
    <col min="20" max="21" width="15" customWidth="1"/>
    <col min="22" max="26" width="12.85546875" customWidth="1"/>
    <col min="27" max="27" width="11.42578125" customWidth="1"/>
  </cols>
  <sheetData>
    <row r="1" spans="2:16" ht="26.25" thickBot="1" x14ac:dyDescent="0.4">
      <c r="B1" s="4" t="s">
        <v>541</v>
      </c>
      <c r="C1" s="4"/>
      <c r="D1" s="4"/>
      <c r="G1" s="21" t="s">
        <v>10</v>
      </c>
      <c r="H1" s="87"/>
    </row>
    <row r="2" spans="2:16" ht="15.75" customHeight="1" thickBot="1" x14ac:dyDescent="0.4">
      <c r="D2" s="4"/>
      <c r="G2" s="164" t="s">
        <v>11</v>
      </c>
    </row>
    <row r="3" spans="2:16" ht="15.75" customHeight="1" x14ac:dyDescent="0.2">
      <c r="B3" s="14" t="s">
        <v>0</v>
      </c>
      <c r="C3" s="15" t="s">
        <v>1</v>
      </c>
      <c r="D3" s="15" t="s">
        <v>3</v>
      </c>
      <c r="E3" s="16" t="s">
        <v>15</v>
      </c>
      <c r="G3" s="165" t="s">
        <v>344</v>
      </c>
      <c r="J3" s="36"/>
    </row>
    <row r="4" spans="2:16" ht="15.75" customHeight="1" x14ac:dyDescent="0.2">
      <c r="B4" s="189" t="s">
        <v>289</v>
      </c>
      <c r="C4" s="195" t="s">
        <v>479</v>
      </c>
      <c r="D4" s="190">
        <v>9.81</v>
      </c>
      <c r="E4" s="196" t="s">
        <v>439</v>
      </c>
      <c r="G4" s="166" t="s">
        <v>476</v>
      </c>
      <c r="J4" s="36"/>
    </row>
    <row r="5" spans="2:16" ht="15.75" customHeight="1" x14ac:dyDescent="0.2">
      <c r="B5" s="189" t="s">
        <v>485</v>
      </c>
      <c r="C5" s="197" t="s">
        <v>286</v>
      </c>
      <c r="D5" s="190">
        <v>398600.5</v>
      </c>
      <c r="E5" s="25" t="s">
        <v>510</v>
      </c>
      <c r="G5" s="167" t="s">
        <v>477</v>
      </c>
      <c r="J5" s="36"/>
    </row>
    <row r="6" spans="2:16" ht="15.75" customHeight="1" thickBot="1" x14ac:dyDescent="0.35">
      <c r="B6" s="191" t="s">
        <v>504</v>
      </c>
      <c r="C6" s="186" t="s">
        <v>505</v>
      </c>
      <c r="D6" s="192">
        <v>6398</v>
      </c>
      <c r="E6" s="193" t="s">
        <v>484</v>
      </c>
      <c r="G6" s="168" t="s">
        <v>371</v>
      </c>
      <c r="J6" s="36"/>
    </row>
    <row r="7" spans="2:16" ht="15.75" customHeight="1" x14ac:dyDescent="0.2">
      <c r="J7" s="36"/>
    </row>
    <row r="8" spans="2:16" ht="15.75" customHeight="1" x14ac:dyDescent="0.2">
      <c r="C8" s="3"/>
      <c r="D8" s="20"/>
      <c r="E8" s="20"/>
      <c r="F8" s="20"/>
      <c r="G8" s="20"/>
      <c r="H8" s="20"/>
      <c r="I8" s="20"/>
      <c r="J8" s="36"/>
    </row>
    <row r="9" spans="2:16" ht="21" thickBot="1" x14ac:dyDescent="0.35">
      <c r="B9" s="21" t="s">
        <v>345</v>
      </c>
      <c r="C9" s="3"/>
      <c r="G9" s="21" t="s">
        <v>13</v>
      </c>
      <c r="M9" s="21" t="s">
        <v>483</v>
      </c>
    </row>
    <row r="10" spans="2:16" ht="15.75" customHeight="1" x14ac:dyDescent="0.2">
      <c r="B10" s="14" t="s">
        <v>14</v>
      </c>
      <c r="C10" s="15" t="s">
        <v>1</v>
      </c>
      <c r="D10" s="15" t="s">
        <v>3</v>
      </c>
      <c r="E10" s="16" t="s">
        <v>15</v>
      </c>
      <c r="G10" s="14" t="s">
        <v>14</v>
      </c>
      <c r="H10" s="15" t="s">
        <v>1</v>
      </c>
      <c r="I10" s="15" t="s">
        <v>3</v>
      </c>
      <c r="J10" s="16" t="s">
        <v>15</v>
      </c>
      <c r="M10" s="14" t="s">
        <v>14</v>
      </c>
      <c r="N10" s="15" t="s">
        <v>1</v>
      </c>
      <c r="O10" s="15" t="s">
        <v>3</v>
      </c>
      <c r="P10" s="16" t="s">
        <v>15</v>
      </c>
    </row>
    <row r="11" spans="2:16" ht="15.75" customHeight="1" x14ac:dyDescent="0.3">
      <c r="B11" s="17" t="s">
        <v>12</v>
      </c>
      <c r="C11" s="18" t="s">
        <v>277</v>
      </c>
      <c r="D11" s="22">
        <v>3933</v>
      </c>
      <c r="E11" s="19" t="s">
        <v>281</v>
      </c>
      <c r="G11" s="17" t="s">
        <v>12</v>
      </c>
      <c r="H11" s="32" t="s">
        <v>277</v>
      </c>
      <c r="I11" s="199">
        <v>3933</v>
      </c>
      <c r="J11" s="19" t="s">
        <v>281</v>
      </c>
      <c r="M11" s="17" t="s">
        <v>511</v>
      </c>
      <c r="N11" s="198" t="s">
        <v>506</v>
      </c>
      <c r="O11" s="22">
        <v>200</v>
      </c>
      <c r="P11" s="19" t="s">
        <v>484</v>
      </c>
    </row>
    <row r="12" spans="2:16" ht="15.75" customHeight="1" x14ac:dyDescent="0.3">
      <c r="B12" s="101" t="s">
        <v>402</v>
      </c>
      <c r="C12" s="32" t="s">
        <v>401</v>
      </c>
      <c r="D12" s="22">
        <v>100</v>
      </c>
      <c r="E12" s="19" t="s">
        <v>16</v>
      </c>
      <c r="G12" s="101" t="s">
        <v>402</v>
      </c>
      <c r="H12" s="32" t="s">
        <v>401</v>
      </c>
      <c r="I12" s="22">
        <v>100</v>
      </c>
      <c r="J12" s="19" t="s">
        <v>16</v>
      </c>
      <c r="M12" s="17" t="s">
        <v>512</v>
      </c>
      <c r="N12" s="18" t="s">
        <v>513</v>
      </c>
      <c r="O12" s="213">
        <v>35786</v>
      </c>
      <c r="P12" s="19" t="s">
        <v>484</v>
      </c>
    </row>
    <row r="13" spans="2:16" ht="15.75" customHeight="1" x14ac:dyDescent="0.2">
      <c r="B13" s="101" t="s">
        <v>403</v>
      </c>
      <c r="C13" s="120" t="s">
        <v>284</v>
      </c>
      <c r="D13" s="122">
        <v>7.0000000000000007E-2</v>
      </c>
      <c r="E13" s="102" t="s">
        <v>400</v>
      </c>
      <c r="G13" s="97" t="s">
        <v>471</v>
      </c>
      <c r="H13" s="27" t="s">
        <v>278</v>
      </c>
      <c r="I13" s="22">
        <v>300</v>
      </c>
      <c r="J13" s="179" t="s">
        <v>486</v>
      </c>
      <c r="M13" s="176" t="s">
        <v>487</v>
      </c>
      <c r="N13" s="177"/>
      <c r="O13" s="180">
        <v>3933</v>
      </c>
      <c r="P13" s="178" t="s">
        <v>281</v>
      </c>
    </row>
    <row r="14" spans="2:16" ht="15.75" customHeight="1" x14ac:dyDescent="0.3">
      <c r="B14" s="121" t="s">
        <v>425</v>
      </c>
      <c r="C14" s="37" t="s">
        <v>375</v>
      </c>
      <c r="D14" s="88">
        <v>5</v>
      </c>
      <c r="E14" s="25"/>
      <c r="G14" s="97" t="s">
        <v>471</v>
      </c>
      <c r="H14" s="27"/>
      <c r="I14" s="217">
        <f>I13*24*60*60</f>
        <v>25920000</v>
      </c>
      <c r="J14" s="25" t="s">
        <v>280</v>
      </c>
      <c r="M14" s="23" t="s">
        <v>514</v>
      </c>
      <c r="N14" s="24" t="s">
        <v>507</v>
      </c>
      <c r="O14" s="28">
        <f>D6+O11</f>
        <v>6598</v>
      </c>
      <c r="P14" s="25" t="s">
        <v>484</v>
      </c>
    </row>
    <row r="15" spans="2:16" ht="15.75" customHeight="1" x14ac:dyDescent="0.3">
      <c r="B15" s="95" t="s">
        <v>426</v>
      </c>
      <c r="C15" s="24"/>
      <c r="D15" s="96" t="str">
        <f>INDEX(B68:B72,$D$14)</f>
        <v>Bi LO2/LH2</v>
      </c>
      <c r="E15" s="25"/>
      <c r="G15" s="182" t="s">
        <v>489</v>
      </c>
      <c r="H15" s="37" t="s">
        <v>276</v>
      </c>
      <c r="I15" s="203">
        <v>0.03</v>
      </c>
      <c r="J15" s="25" t="s">
        <v>480</v>
      </c>
      <c r="M15" s="23" t="s">
        <v>515</v>
      </c>
      <c r="N15" s="24" t="s">
        <v>516</v>
      </c>
      <c r="O15" s="248">
        <f>D6+O12</f>
        <v>42184</v>
      </c>
      <c r="P15" s="25" t="s">
        <v>484</v>
      </c>
    </row>
    <row r="16" spans="2:16" ht="15.75" customHeight="1" x14ac:dyDescent="0.3">
      <c r="B16" s="95" t="s">
        <v>444</v>
      </c>
      <c r="C16" s="37" t="s">
        <v>377</v>
      </c>
      <c r="D16" s="94">
        <f>INDEX(C68:C72,$D$14)</f>
        <v>450</v>
      </c>
      <c r="E16" s="169" t="s">
        <v>279</v>
      </c>
      <c r="G16" s="23" t="s">
        <v>340</v>
      </c>
      <c r="H16" s="37"/>
      <c r="I16" s="204">
        <v>1500</v>
      </c>
      <c r="J16" s="25" t="s">
        <v>279</v>
      </c>
      <c r="M16" s="23" t="s">
        <v>518</v>
      </c>
      <c r="N16" s="24" t="s">
        <v>509</v>
      </c>
      <c r="O16" s="30">
        <f>SQRT(D5/O14)</f>
        <v>7.77253638883293</v>
      </c>
      <c r="P16" s="25" t="s">
        <v>508</v>
      </c>
    </row>
    <row r="17" spans="2:16" ht="15.75" customHeight="1" x14ac:dyDescent="0.3">
      <c r="B17" s="95" t="s">
        <v>413</v>
      </c>
      <c r="C17" s="37" t="s">
        <v>414</v>
      </c>
      <c r="D17" s="131" t="str">
        <f>INDEX(D68:D72,$D$14)</f>
        <v>1000 to 2.3e6</v>
      </c>
      <c r="E17" s="170" t="s">
        <v>415</v>
      </c>
      <c r="G17" s="23"/>
      <c r="H17" s="37"/>
      <c r="I17" s="188">
        <v>14</v>
      </c>
      <c r="J17" s="25"/>
      <c r="M17" s="23" t="s">
        <v>519</v>
      </c>
      <c r="N17" s="24" t="s">
        <v>517</v>
      </c>
      <c r="O17" s="30">
        <f>SQRT(D5/O15)</f>
        <v>3.073937551874439</v>
      </c>
      <c r="P17" s="25" t="s">
        <v>508</v>
      </c>
    </row>
    <row r="18" spans="2:16" ht="15.75" customHeight="1" x14ac:dyDescent="0.3">
      <c r="B18" s="132" t="s">
        <v>427</v>
      </c>
      <c r="C18" s="37" t="s">
        <v>378</v>
      </c>
      <c r="D18" s="94">
        <f>INDEX(E68:E72,$D$14)</f>
        <v>280</v>
      </c>
      <c r="E18" s="171" t="s">
        <v>376</v>
      </c>
      <c r="G18" s="23" t="s">
        <v>526</v>
      </c>
      <c r="H18" s="37" t="s">
        <v>285</v>
      </c>
      <c r="I18" s="214">
        <f>INDEX($J$168:$J$185,I17)</f>
        <v>3400</v>
      </c>
      <c r="J18" s="25" t="s">
        <v>279</v>
      </c>
      <c r="M18" s="17" t="s">
        <v>520</v>
      </c>
      <c r="N18" s="32" t="s">
        <v>277</v>
      </c>
      <c r="O18" s="30">
        <f>ABS(O16-O17)</f>
        <v>4.6985988369584906</v>
      </c>
      <c r="P18" s="19" t="s">
        <v>508</v>
      </c>
    </row>
    <row r="19" spans="2:16" ht="15.75" customHeight="1" x14ac:dyDescent="0.3">
      <c r="B19" s="132" t="s">
        <v>443</v>
      </c>
      <c r="C19" s="37" t="s">
        <v>378</v>
      </c>
      <c r="D19" s="94">
        <f>INDEX(F68:F72,$D$14)</f>
        <v>3.7</v>
      </c>
      <c r="E19" s="171" t="s">
        <v>441</v>
      </c>
      <c r="G19" s="23" t="s">
        <v>525</v>
      </c>
      <c r="H19" s="37"/>
      <c r="I19" s="214">
        <f>INDEX($G$168:$G$185,I17)</f>
        <v>7.9000000000000001E-2</v>
      </c>
      <c r="J19" s="25" t="s">
        <v>415</v>
      </c>
      <c r="M19" s="97" t="s">
        <v>471</v>
      </c>
      <c r="N19" s="27"/>
      <c r="O19" s="249">
        <f>(1/O13)*(SQRT(D5/(O14))-SQRT(D5/(O15)))*1000</f>
        <v>1.1946602687410348</v>
      </c>
      <c r="P19" s="25" t="s">
        <v>280</v>
      </c>
    </row>
    <row r="20" spans="2:16" ht="15.75" customHeight="1" x14ac:dyDescent="0.3">
      <c r="B20" s="97" t="s">
        <v>428</v>
      </c>
      <c r="C20" s="37" t="s">
        <v>404</v>
      </c>
      <c r="D20" s="34">
        <f>D16*D4</f>
        <v>4414.5</v>
      </c>
      <c r="E20" s="171" t="s">
        <v>281</v>
      </c>
      <c r="G20" s="23" t="s">
        <v>524</v>
      </c>
      <c r="H20" s="37"/>
      <c r="I20" s="214">
        <f>INDEX($P$168:$P$185,I17)</f>
        <v>0.65</v>
      </c>
      <c r="J20" s="25" t="s">
        <v>17</v>
      </c>
      <c r="M20" s="97" t="s">
        <v>471</v>
      </c>
      <c r="N20" s="27"/>
      <c r="O20" s="194">
        <f>O19/86400</f>
        <v>1.3827086443761977E-5</v>
      </c>
      <c r="P20" s="179" t="s">
        <v>486</v>
      </c>
    </row>
    <row r="21" spans="2:16" ht="15.75" customHeight="1" thickBot="1" x14ac:dyDescent="0.35">
      <c r="B21" s="26" t="s">
        <v>288</v>
      </c>
      <c r="C21" s="31" t="s">
        <v>409</v>
      </c>
      <c r="D21" s="126">
        <f>CP_propellant_mass(D11,D20,D12,D13)</f>
        <v>161.17677260731818</v>
      </c>
      <c r="E21" s="172" t="s">
        <v>16</v>
      </c>
      <c r="G21" s="23" t="s">
        <v>522</v>
      </c>
      <c r="H21" s="37"/>
      <c r="I21" s="215">
        <f>INDEX($E$168:$E$185,I17)</f>
        <v>7</v>
      </c>
      <c r="J21" s="25" t="s">
        <v>16</v>
      </c>
      <c r="M21" s="185" t="s">
        <v>503</v>
      </c>
      <c r="N21" s="186"/>
      <c r="O21" s="187">
        <f>I14-O19</f>
        <v>25919998.805339731</v>
      </c>
      <c r="P21" s="200" t="s">
        <v>280</v>
      </c>
    </row>
    <row r="22" spans="2:16" ht="15.75" customHeight="1" x14ac:dyDescent="0.3">
      <c r="B22" s="97" t="s">
        <v>422</v>
      </c>
      <c r="C22" s="31" t="s">
        <v>423</v>
      </c>
      <c r="D22" s="29">
        <f>D21/D18</f>
        <v>0.57563133074042205</v>
      </c>
      <c r="E22" s="171" t="s">
        <v>380</v>
      </c>
      <c r="G22" s="23" t="s">
        <v>523</v>
      </c>
      <c r="H22" s="37"/>
      <c r="I22" s="215">
        <f>INDEX($M$168:$M$185,I17)</f>
        <v>11</v>
      </c>
      <c r="J22" s="25" t="s">
        <v>16</v>
      </c>
    </row>
    <row r="23" spans="2:16" ht="15.75" customHeight="1" x14ac:dyDescent="0.3">
      <c r="B23" s="97" t="s">
        <v>405</v>
      </c>
      <c r="C23" s="31" t="s">
        <v>410</v>
      </c>
      <c r="D23" s="126">
        <f>(D13)*D21</f>
        <v>11.282374082512273</v>
      </c>
      <c r="E23" s="172" t="s">
        <v>16</v>
      </c>
      <c r="G23" s="23" t="s">
        <v>283</v>
      </c>
      <c r="H23" s="216" t="s">
        <v>535</v>
      </c>
      <c r="I23" s="175">
        <f>SQRT(2*I14/I15)</f>
        <v>41569.219381653056</v>
      </c>
      <c r="J23" s="25" t="s">
        <v>281</v>
      </c>
    </row>
    <row r="24" spans="2:16" ht="15.75" customHeight="1" x14ac:dyDescent="0.3">
      <c r="B24" s="97" t="s">
        <v>406</v>
      </c>
      <c r="C24" s="31" t="s">
        <v>290</v>
      </c>
      <c r="D24" s="126">
        <f>D23+D21</f>
        <v>172.45914668983045</v>
      </c>
      <c r="E24" s="172" t="s">
        <v>16</v>
      </c>
      <c r="G24" s="23" t="s">
        <v>343</v>
      </c>
      <c r="H24" s="216" t="s">
        <v>536</v>
      </c>
      <c r="I24" s="28">
        <f>I16*D4</f>
        <v>14715</v>
      </c>
      <c r="J24" s="25" t="s">
        <v>281</v>
      </c>
    </row>
    <row r="25" spans="2:16" ht="15.75" customHeight="1" x14ac:dyDescent="0.3">
      <c r="B25" s="97" t="s">
        <v>408</v>
      </c>
      <c r="C25" s="31" t="s">
        <v>411</v>
      </c>
      <c r="D25" s="126">
        <f>D12+D23</f>
        <v>111.28237408251228</v>
      </c>
      <c r="E25" s="171" t="s">
        <v>16</v>
      </c>
      <c r="G25" s="23" t="s">
        <v>288</v>
      </c>
      <c r="H25" s="24" t="s">
        <v>409</v>
      </c>
      <c r="I25" s="30">
        <f>EP_propellent_mass(I11,I24,I23,I12)</f>
        <v>31.863795692008392</v>
      </c>
      <c r="J25" s="25" t="s">
        <v>16</v>
      </c>
    </row>
    <row r="26" spans="2:16" ht="15.75" customHeight="1" thickBot="1" x14ac:dyDescent="0.35">
      <c r="B26" s="123" t="s">
        <v>407</v>
      </c>
      <c r="C26" s="124" t="s">
        <v>412</v>
      </c>
      <c r="D26" s="127">
        <f>D12+D23+D21</f>
        <v>272.45914668983045</v>
      </c>
      <c r="E26" s="173" t="s">
        <v>16</v>
      </c>
      <c r="G26" s="23" t="s">
        <v>341</v>
      </c>
      <c r="H26" s="24" t="s">
        <v>537</v>
      </c>
      <c r="I26" s="30">
        <f>I25*(I24/I23)^2</f>
        <v>3.9927700893173026</v>
      </c>
      <c r="J26" s="25" t="s">
        <v>16</v>
      </c>
    </row>
    <row r="27" spans="2:16" ht="15.75" customHeight="1" x14ac:dyDescent="0.3">
      <c r="G27" s="23" t="s">
        <v>490</v>
      </c>
      <c r="H27" s="24" t="s">
        <v>412</v>
      </c>
      <c r="I27" s="30">
        <f>I12+I26+I25</f>
        <v>135.85656578132568</v>
      </c>
      <c r="J27" s="25" t="s">
        <v>16</v>
      </c>
    </row>
    <row r="28" spans="2:16" ht="21" thickBot="1" x14ac:dyDescent="0.35">
      <c r="B28" s="21" t="s">
        <v>450</v>
      </c>
      <c r="C28" s="3"/>
      <c r="G28" s="23" t="s">
        <v>558</v>
      </c>
      <c r="H28" s="24"/>
      <c r="I28" s="205">
        <f>I25/I14</f>
        <v>1.2293131054015582E-6</v>
      </c>
      <c r="J28" s="25" t="s">
        <v>559</v>
      </c>
    </row>
    <row r="29" spans="2:16" ht="15.75" customHeight="1" x14ac:dyDescent="0.2">
      <c r="B29" s="14" t="s">
        <v>14</v>
      </c>
      <c r="C29" s="15" t="s">
        <v>1</v>
      </c>
      <c r="D29" s="15" t="s">
        <v>3</v>
      </c>
      <c r="E29" s="16" t="s">
        <v>15</v>
      </c>
      <c r="G29" s="23" t="s">
        <v>527</v>
      </c>
      <c r="H29" s="24" t="s">
        <v>414</v>
      </c>
      <c r="I29" s="205">
        <f>I24*I28</f>
        <v>1.808934234598393E-2</v>
      </c>
      <c r="J29" s="25" t="s">
        <v>415</v>
      </c>
    </row>
    <row r="30" spans="2:16" ht="15.75" customHeight="1" x14ac:dyDescent="0.3">
      <c r="B30" s="138" t="s">
        <v>440</v>
      </c>
      <c r="C30" s="139" t="s">
        <v>423</v>
      </c>
      <c r="D30" s="245">
        <f>D22</f>
        <v>0.57563133074042205</v>
      </c>
      <c r="E30" s="140" t="s">
        <v>380</v>
      </c>
      <c r="G30" s="2" t="s">
        <v>488</v>
      </c>
      <c r="H30" s="27" t="s">
        <v>284</v>
      </c>
      <c r="I30" s="184">
        <f>I29/I27</f>
        <v>1.3315029893439586E-4</v>
      </c>
      <c r="J30" s="1" t="s">
        <v>439</v>
      </c>
    </row>
    <row r="31" spans="2:16" ht="15.75" customHeight="1" thickBot="1" x14ac:dyDescent="0.25">
      <c r="B31" s="101" t="s">
        <v>456</v>
      </c>
      <c r="C31" s="37" t="s">
        <v>375</v>
      </c>
      <c r="D31" s="88">
        <v>4</v>
      </c>
      <c r="E31" s="102"/>
      <c r="G31" s="160" t="s">
        <v>275</v>
      </c>
      <c r="H31" s="124" t="s">
        <v>17</v>
      </c>
      <c r="I31" s="247">
        <f>I26/I15</f>
        <v>133.09233631057677</v>
      </c>
      <c r="J31" s="125" t="s">
        <v>282</v>
      </c>
    </row>
    <row r="32" spans="2:16" ht="15.75" customHeight="1" x14ac:dyDescent="0.3">
      <c r="B32" s="141" t="s">
        <v>373</v>
      </c>
      <c r="C32" s="18" t="s">
        <v>379</v>
      </c>
      <c r="D32" s="174">
        <f>INDEX(C76:C79,$D$31)</f>
        <v>1633.1143779019844</v>
      </c>
      <c r="E32" s="103" t="s">
        <v>376</v>
      </c>
    </row>
    <row r="33" spans="2:29" ht="15.75" customHeight="1" thickBot="1" x14ac:dyDescent="0.25">
      <c r="B33" s="141" t="s">
        <v>389</v>
      </c>
      <c r="C33" s="120" t="s">
        <v>279</v>
      </c>
      <c r="D33" s="96">
        <f>INDEX(E76:E79,$D$31)</f>
        <v>4136.88</v>
      </c>
      <c r="E33" s="128" t="s">
        <v>441</v>
      </c>
      <c r="H33" s="207" t="s">
        <v>528</v>
      </c>
      <c r="J33" s="206"/>
      <c r="K33" s="206"/>
      <c r="L33" s="206"/>
      <c r="O33" s="207" t="s">
        <v>539</v>
      </c>
      <c r="Q33" s="206"/>
      <c r="R33" s="206"/>
      <c r="S33" s="206"/>
      <c r="V33" s="207" t="s">
        <v>543</v>
      </c>
      <c r="X33" s="206"/>
      <c r="Y33" s="206"/>
      <c r="Z33" s="206"/>
    </row>
    <row r="34" spans="2:29" ht="15.75" customHeight="1" thickBot="1" x14ac:dyDescent="0.25">
      <c r="B34" s="101" t="s">
        <v>457</v>
      </c>
      <c r="C34" s="18"/>
      <c r="D34" s="134">
        <v>1</v>
      </c>
      <c r="E34" s="102"/>
      <c r="G34" s="206"/>
      <c r="H34" s="208" t="s">
        <v>285</v>
      </c>
      <c r="I34" s="209" t="s">
        <v>287</v>
      </c>
      <c r="J34" s="209" t="s">
        <v>342</v>
      </c>
      <c r="K34" s="209" t="s">
        <v>538</v>
      </c>
      <c r="L34" s="209" t="s">
        <v>529</v>
      </c>
      <c r="O34" s="208" t="s">
        <v>540</v>
      </c>
      <c r="P34" s="209" t="s">
        <v>287</v>
      </c>
      <c r="Q34" s="209" t="s">
        <v>342</v>
      </c>
      <c r="R34" s="209" t="s">
        <v>538</v>
      </c>
      <c r="S34" s="209" t="s">
        <v>529</v>
      </c>
      <c r="V34" s="208" t="s">
        <v>540</v>
      </c>
      <c r="W34" s="209" t="s">
        <v>546</v>
      </c>
      <c r="X34" s="209" t="s">
        <v>545</v>
      </c>
      <c r="Y34" s="209" t="s">
        <v>547</v>
      </c>
      <c r="Z34" s="209" t="s">
        <v>529</v>
      </c>
      <c r="AA34" s="209" t="s">
        <v>548</v>
      </c>
    </row>
    <row r="35" spans="2:29" ht="15.75" customHeight="1" x14ac:dyDescent="0.2">
      <c r="B35" s="101" t="s">
        <v>458</v>
      </c>
      <c r="C35" s="18"/>
      <c r="D35" s="134">
        <v>1.2</v>
      </c>
      <c r="E35" s="102"/>
      <c r="G35" s="206"/>
      <c r="H35" s="208" t="s">
        <v>530</v>
      </c>
      <c r="I35" s="209" t="s">
        <v>531</v>
      </c>
      <c r="J35" s="209" t="s">
        <v>532</v>
      </c>
      <c r="K35" s="209" t="s">
        <v>533</v>
      </c>
      <c r="L35" s="209" t="s">
        <v>534</v>
      </c>
      <c r="O35" s="208" t="s">
        <v>542</v>
      </c>
      <c r="P35" s="209" t="s">
        <v>531</v>
      </c>
      <c r="Q35" s="209" t="s">
        <v>532</v>
      </c>
      <c r="R35" s="209" t="s">
        <v>533</v>
      </c>
      <c r="S35" s="209" t="s">
        <v>534</v>
      </c>
      <c r="U35" s="208" t="s">
        <v>533</v>
      </c>
      <c r="V35" s="208" t="s">
        <v>542</v>
      </c>
      <c r="W35" s="209" t="s">
        <v>531</v>
      </c>
      <c r="X35" s="209" t="s">
        <v>544</v>
      </c>
      <c r="Y35" s="209" t="s">
        <v>532</v>
      </c>
      <c r="Z35" s="209" t="s">
        <v>534</v>
      </c>
      <c r="AA35" s="209" t="s">
        <v>549</v>
      </c>
    </row>
    <row r="36" spans="2:29" ht="15.75" customHeight="1" thickBot="1" x14ac:dyDescent="0.25">
      <c r="B36" s="101" t="s">
        <v>478</v>
      </c>
      <c r="C36" s="32" t="s">
        <v>449</v>
      </c>
      <c r="D36" s="149">
        <f>D19*D35</f>
        <v>4.4400000000000004</v>
      </c>
      <c r="E36" s="102" t="s">
        <v>441</v>
      </c>
      <c r="G36" s="206"/>
      <c r="H36" s="210">
        <v>500</v>
      </c>
      <c r="I36" s="211">
        <v>125.10463669950992</v>
      </c>
      <c r="J36" s="211">
        <v>1.7418377210471219</v>
      </c>
      <c r="K36" s="211">
        <v>226.84647442055706</v>
      </c>
      <c r="L36" s="211">
        <v>1.043627192860541E-4</v>
      </c>
      <c r="O36" s="210">
        <v>150</v>
      </c>
      <c r="P36" s="211">
        <v>33.188954333597451</v>
      </c>
      <c r="Q36" s="211">
        <v>8.3176446045404102</v>
      </c>
      <c r="R36" s="211">
        <v>141.50659893813787</v>
      </c>
      <c r="S36" s="211">
        <v>2.6630059786879171E-4</v>
      </c>
      <c r="U36" s="210">
        <v>12</v>
      </c>
      <c r="V36" s="210">
        <v>150</v>
      </c>
      <c r="W36" s="211">
        <v>3.4569565587046505</v>
      </c>
      <c r="X36" s="211">
        <v>7.8210729181200982</v>
      </c>
      <c r="Y36" s="211">
        <v>0.72197052317525312</v>
      </c>
      <c r="Z36" s="211">
        <v>3.2709050772465869E-4</v>
      </c>
      <c r="AA36" s="218">
        <v>2.6674047520869218E-7</v>
      </c>
      <c r="AC36" s="219"/>
    </row>
    <row r="37" spans="2:29" ht="15.75" customHeight="1" x14ac:dyDescent="0.3">
      <c r="B37" s="101" t="s">
        <v>459</v>
      </c>
      <c r="C37" s="32" t="s">
        <v>448</v>
      </c>
      <c r="D37" s="30">
        <f>D30</f>
        <v>0.57563133074042205</v>
      </c>
      <c r="E37" s="103" t="s">
        <v>380</v>
      </c>
      <c r="G37" s="206"/>
      <c r="H37" s="212">
        <v>600</v>
      </c>
      <c r="I37" s="211">
        <v>96.918825478768611</v>
      </c>
      <c r="J37" s="211">
        <v>1.9431437043036088</v>
      </c>
      <c r="K37" s="211">
        <v>198.86196918307223</v>
      </c>
      <c r="L37" s="211">
        <v>1.1067299616353099E-4</v>
      </c>
      <c r="O37" s="210">
        <v>160</v>
      </c>
      <c r="P37" s="211">
        <v>33.017312911973264</v>
      </c>
      <c r="Q37" s="211">
        <v>7.7574644216990967</v>
      </c>
      <c r="R37" s="211">
        <v>140.77477733367238</v>
      </c>
      <c r="S37" s="211">
        <v>2.4965681050199219E-4</v>
      </c>
      <c r="U37" s="208" t="s">
        <v>544</v>
      </c>
      <c r="V37" s="212">
        <v>160</v>
      </c>
      <c r="W37" s="211">
        <v>3.45695655870465</v>
      </c>
      <c r="X37" s="211">
        <v>7.866196075818551</v>
      </c>
      <c r="Y37" s="211">
        <v>0.6768473654767998</v>
      </c>
      <c r="Z37" s="211">
        <v>3.0664735099186758E-4</v>
      </c>
      <c r="AA37" s="218">
        <v>2.5006919550814889E-7</v>
      </c>
      <c r="AC37" s="219"/>
    </row>
    <row r="38" spans="2:29" ht="15.75" customHeight="1" x14ac:dyDescent="0.2">
      <c r="B38" s="101" t="s">
        <v>460</v>
      </c>
      <c r="C38" s="32" t="s">
        <v>447</v>
      </c>
      <c r="D38" s="243">
        <f>(3*(D37/(4*PI())))^(1/3)</f>
        <v>0.51604226354051752</v>
      </c>
      <c r="E38" s="103" t="s">
        <v>286</v>
      </c>
      <c r="G38" s="206"/>
      <c r="H38" s="210">
        <v>700</v>
      </c>
      <c r="I38" s="211">
        <v>78.977986940942671</v>
      </c>
      <c r="J38" s="211">
        <v>2.1552438599728898</v>
      </c>
      <c r="K38" s="211">
        <v>181.13323080091556</v>
      </c>
      <c r="L38" s="211">
        <v>1.1551542400257122E-4</v>
      </c>
      <c r="O38" s="210">
        <v>170</v>
      </c>
      <c r="P38" s="211">
        <v>32.867332229381738</v>
      </c>
      <c r="Q38" s="211">
        <v>7.2679776451286857</v>
      </c>
      <c r="R38" s="211">
        <v>140.13530987451043</v>
      </c>
      <c r="S38" s="211">
        <v>2.3497111576658089E-4</v>
      </c>
      <c r="V38" s="210">
        <v>170</v>
      </c>
      <c r="W38" s="211">
        <v>3.45695655870465</v>
      </c>
      <c r="X38" s="211">
        <v>7.9060106267289507</v>
      </c>
      <c r="Y38" s="211">
        <v>0.63703281456639971</v>
      </c>
      <c r="Z38" s="211">
        <v>2.8860927152175772E-4</v>
      </c>
      <c r="AA38" s="218">
        <v>2.3535924283119892E-7</v>
      </c>
      <c r="AC38" s="219"/>
    </row>
    <row r="39" spans="2:29" ht="15.75" customHeight="1" x14ac:dyDescent="0.2">
      <c r="B39" s="101" t="s">
        <v>445</v>
      </c>
      <c r="C39" s="37" t="s">
        <v>446</v>
      </c>
      <c r="D39" s="243">
        <f>(D36*D38)/(2*D33)*1000*D35</f>
        <v>0.33231241662120697</v>
      </c>
      <c r="E39" s="103" t="s">
        <v>374</v>
      </c>
      <c r="G39" s="206"/>
      <c r="H39" s="212">
        <v>800</v>
      </c>
      <c r="I39" s="211">
        <v>66.605886409266333</v>
      </c>
      <c r="J39" s="211">
        <v>2.3740336092854797</v>
      </c>
      <c r="K39" s="211">
        <v>168.97992001855181</v>
      </c>
      <c r="L39" s="211">
        <v>1.1934425268814602E-4</v>
      </c>
      <c r="O39" s="210">
        <v>180</v>
      </c>
      <c r="P39" s="211">
        <v>32.73515535309501</v>
      </c>
      <c r="Q39" s="211">
        <v>6.836596536623234</v>
      </c>
      <c r="R39" s="211">
        <v>139.57175188971826</v>
      </c>
      <c r="S39" s="211">
        <v>2.2191716489065972E-4</v>
      </c>
      <c r="V39" s="212">
        <v>180</v>
      </c>
      <c r="W39" s="211">
        <v>3.45695655870465</v>
      </c>
      <c r="X39" s="211">
        <v>7.9414013386493059</v>
      </c>
      <c r="Y39" s="211">
        <v>0.60164210264604423</v>
      </c>
      <c r="Z39" s="211">
        <v>2.7257542310388228E-4</v>
      </c>
      <c r="AA39" s="218">
        <v>2.2228372934057678E-7</v>
      </c>
      <c r="AC39" s="219"/>
    </row>
    <row r="40" spans="2:29" ht="15.75" customHeight="1" x14ac:dyDescent="0.3">
      <c r="B40" s="17" t="s">
        <v>381</v>
      </c>
      <c r="C40" s="37" t="s">
        <v>451</v>
      </c>
      <c r="D40" s="29">
        <f>(4/3)*PI()*D32*((D38+D39/1000)^3-D38^3)</f>
        <v>1.8172857365655655</v>
      </c>
      <c r="E40" s="103" t="s">
        <v>16</v>
      </c>
      <c r="G40" s="206"/>
      <c r="H40" s="210">
        <v>900</v>
      </c>
      <c r="I40" s="211">
        <v>57.579130107489092</v>
      </c>
      <c r="J40" s="211">
        <v>2.597433245126874</v>
      </c>
      <c r="K40" s="211">
        <v>160.17656335261597</v>
      </c>
      <c r="L40" s="211">
        <v>1.2244544883690164E-4</v>
      </c>
      <c r="O40" s="210">
        <v>190</v>
      </c>
      <c r="P40" s="211">
        <v>32.61778973817065</v>
      </c>
      <c r="Q40" s="211">
        <v>6.4535544305542034</v>
      </c>
      <c r="R40" s="211">
        <v>139.07134416872486</v>
      </c>
      <c r="S40" s="211">
        <v>2.1023731410694079E-4</v>
      </c>
      <c r="V40" s="210">
        <v>190</v>
      </c>
      <c r="W40" s="211">
        <v>3.45695655870465</v>
      </c>
      <c r="X40" s="211">
        <v>7.9730667124727823</v>
      </c>
      <c r="Y40" s="211">
        <v>0.56997672882256822</v>
      </c>
      <c r="Z40" s="211">
        <v>2.5822934820367792E-4</v>
      </c>
      <c r="AA40" s="218">
        <v>2.1058458569107275E-7</v>
      </c>
      <c r="AC40" s="219"/>
    </row>
    <row r="41" spans="2:29" ht="15.75" customHeight="1" x14ac:dyDescent="0.2">
      <c r="B41" s="101" t="s">
        <v>454</v>
      </c>
      <c r="C41" s="37" t="s">
        <v>290</v>
      </c>
      <c r="D41" s="29">
        <f>D40*D34</f>
        <v>1.8172857365655655</v>
      </c>
      <c r="E41" s="103" t="s">
        <v>16</v>
      </c>
      <c r="G41" s="206"/>
      <c r="H41" s="212">
        <v>1000</v>
      </c>
      <c r="I41" s="211">
        <v>50.712314966662781</v>
      </c>
      <c r="J41" s="211">
        <v>2.8242797536824398</v>
      </c>
      <c r="K41" s="211">
        <v>153.53659472034522</v>
      </c>
      <c r="L41" s="211">
        <v>1.250073480815764E-4</v>
      </c>
      <c r="O41" s="210">
        <v>200</v>
      </c>
      <c r="P41" s="211">
        <v>32.512877924480854</v>
      </c>
      <c r="Q41" s="211">
        <v>6.1111573656799454</v>
      </c>
      <c r="R41" s="211">
        <v>138.6240352901608</v>
      </c>
      <c r="S41" s="211">
        <v>1.9972544840159379E-4</v>
      </c>
      <c r="V41" s="212">
        <v>200</v>
      </c>
      <c r="W41" s="211">
        <v>3.45695655870465</v>
      </c>
      <c r="X41" s="211">
        <v>8.001565548913911</v>
      </c>
      <c r="Y41" s="211">
        <v>0.54147789238143973</v>
      </c>
      <c r="Z41" s="211">
        <v>2.4531788079349402E-4</v>
      </c>
      <c r="AA41" s="218">
        <v>2.0005535640651911E-7</v>
      </c>
      <c r="AC41" s="219"/>
    </row>
    <row r="42" spans="2:29" ht="15.75" customHeight="1" thickBot="1" x14ac:dyDescent="0.25">
      <c r="B42" s="157" t="s">
        <v>455</v>
      </c>
      <c r="C42" s="158" t="s">
        <v>284</v>
      </c>
      <c r="D42" s="159">
        <f>D41/(D30*D32)</f>
        <v>1.9331350345085829E-3</v>
      </c>
      <c r="E42" s="137" t="s">
        <v>470</v>
      </c>
      <c r="G42" s="206"/>
      <c r="H42" s="210">
        <v>1100</v>
      </c>
      <c r="I42" s="211">
        <v>45.318075272600538</v>
      </c>
      <c r="J42" s="211">
        <v>3.0538739217171464</v>
      </c>
      <c r="K42" s="211">
        <v>148.37194919431766</v>
      </c>
      <c r="L42" s="211">
        <v>1.2715877915758439E-4</v>
      </c>
      <c r="O42" s="210">
        <v>210</v>
      </c>
      <c r="P42" s="211">
        <v>32.418537550890996</v>
      </c>
      <c r="Q42" s="211">
        <v>5.8032619449428964</v>
      </c>
      <c r="R42" s="211">
        <v>138.22179949583389</v>
      </c>
      <c r="S42" s="211">
        <v>1.9021471276342266E-4</v>
      </c>
      <c r="V42" s="210">
        <v>210</v>
      </c>
      <c r="W42" s="211">
        <v>3.4569565587046496</v>
      </c>
      <c r="X42" s="211">
        <v>8.0273502104558823</v>
      </c>
      <c r="Y42" s="211">
        <v>0.51569323083946639</v>
      </c>
      <c r="Z42" s="211">
        <v>2.3363607694618476E-4</v>
      </c>
      <c r="AA42" s="218">
        <v>1.905289108633515E-7</v>
      </c>
      <c r="AC42" s="219"/>
    </row>
    <row r="43" spans="2:29" ht="15.75" customHeight="1" x14ac:dyDescent="0.2">
      <c r="G43" s="206"/>
      <c r="H43" s="212">
        <v>1200</v>
      </c>
      <c r="I43" s="211">
        <v>40.971380766196361</v>
      </c>
      <c r="J43" s="211">
        <v>3.2857715804614576</v>
      </c>
      <c r="K43" s="211">
        <v>144.25715234665782</v>
      </c>
      <c r="L43" s="211">
        <v>1.2899073029390277E-4</v>
      </c>
      <c r="O43" s="210">
        <v>220</v>
      </c>
      <c r="P43" s="211">
        <v>32.333247412588314</v>
      </c>
      <c r="Q43" s="211">
        <v>5.5249034647063029</v>
      </c>
      <c r="R43" s="211">
        <v>137.85815087729461</v>
      </c>
      <c r="S43" s="211">
        <v>1.8156858945599438E-4</v>
      </c>
      <c r="V43" s="212">
        <v>220</v>
      </c>
      <c r="W43" s="211">
        <v>3.4569565587046496</v>
      </c>
      <c r="X43" s="211">
        <v>8.0507908118576772</v>
      </c>
      <c r="Y43" s="211">
        <v>0.49225262943767245</v>
      </c>
      <c r="Z43" s="211">
        <v>2.2301625526681274E-4</v>
      </c>
      <c r="AA43" s="218">
        <v>1.8186850582410827E-7</v>
      </c>
      <c r="AC43" s="219"/>
    </row>
    <row r="44" spans="2:29" ht="21" thickBot="1" x14ac:dyDescent="0.35">
      <c r="B44" s="21" t="s">
        <v>429</v>
      </c>
      <c r="C44" s="3"/>
      <c r="G44" s="206"/>
      <c r="H44" s="210">
        <v>1300</v>
      </c>
      <c r="I44" s="211">
        <v>37.395726858689507</v>
      </c>
      <c r="J44" s="211">
        <v>3.5196782159328377</v>
      </c>
      <c r="K44" s="211">
        <v>140.91540507462236</v>
      </c>
      <c r="L44" s="211">
        <v>1.3056923754948659E-4</v>
      </c>
      <c r="O44" s="210">
        <v>230</v>
      </c>
      <c r="P44" s="211">
        <v>32.255764809651964</v>
      </c>
      <c r="Q44" s="211">
        <v>5.272026168135441</v>
      </c>
      <c r="R44" s="211">
        <v>137.52779097778739</v>
      </c>
      <c r="S44" s="211">
        <v>1.7367430295790761E-4</v>
      </c>
      <c r="V44" s="210">
        <v>230</v>
      </c>
      <c r="W44" s="211">
        <v>3.45695655870465</v>
      </c>
      <c r="X44" s="211">
        <v>8.0721931000940987</v>
      </c>
      <c r="Y44" s="211">
        <v>0.47085034120125197</v>
      </c>
      <c r="Z44" s="211">
        <v>2.1331989634216874E-4</v>
      </c>
      <c r="AA44" s="218">
        <v>1.7396117948392966E-7</v>
      </c>
      <c r="AC44" s="219"/>
    </row>
    <row r="45" spans="2:29" ht="15.75" customHeight="1" x14ac:dyDescent="0.2">
      <c r="B45" s="14" t="s">
        <v>437</v>
      </c>
      <c r="C45" s="15" t="s">
        <v>438</v>
      </c>
      <c r="D45" s="15" t="s">
        <v>461</v>
      </c>
      <c r="E45" s="16" t="s">
        <v>15</v>
      </c>
      <c r="G45" s="206"/>
      <c r="H45" s="212">
        <v>1400</v>
      </c>
      <c r="I45" s="211">
        <v>34.403680713836252</v>
      </c>
      <c r="J45" s="211">
        <v>3.7553918245300002</v>
      </c>
      <c r="K45" s="211">
        <v>138.15907253836625</v>
      </c>
      <c r="L45" s="211">
        <v>1.3194336176716162E-4</v>
      </c>
      <c r="O45" s="210">
        <v>240</v>
      </c>
      <c r="P45" s="211">
        <v>32.185064600153993</v>
      </c>
      <c r="Q45" s="211">
        <v>5.0412843349070302</v>
      </c>
      <c r="R45" s="211">
        <v>137.22634893506103</v>
      </c>
      <c r="S45" s="211">
        <v>1.6643787366799482E-4</v>
      </c>
      <c r="V45" s="212">
        <v>240</v>
      </c>
      <c r="W45" s="211">
        <v>3.4569565587046496</v>
      </c>
      <c r="X45" s="211">
        <v>8.0918118643108166</v>
      </c>
      <c r="Y45" s="211">
        <v>0.45123157698453298</v>
      </c>
      <c r="Z45" s="211">
        <v>2.0443156732791165E-4</v>
      </c>
      <c r="AA45" s="218">
        <v>1.6671279700543252E-7</v>
      </c>
      <c r="AC45" s="219"/>
    </row>
    <row r="46" spans="2:29" ht="15.75" customHeight="1" x14ac:dyDescent="0.2">
      <c r="B46" s="133" t="s">
        <v>452</v>
      </c>
      <c r="C46" s="37"/>
      <c r="D46" s="37"/>
      <c r="E46" s="103"/>
      <c r="G46" s="206"/>
      <c r="H46" s="210">
        <v>1500</v>
      </c>
      <c r="I46" s="211">
        <v>31.863795692008392</v>
      </c>
      <c r="J46" s="211">
        <v>3.9927700893173026</v>
      </c>
      <c r="K46" s="211">
        <v>135.85656578132568</v>
      </c>
      <c r="L46" s="211">
        <v>1.3315029893439586E-4</v>
      </c>
      <c r="O46" s="210">
        <v>250</v>
      </c>
      <c r="P46" s="211">
        <v>32.120293586996894</v>
      </c>
      <c r="Q46" s="211">
        <v>4.8298934151056114</v>
      </c>
      <c r="R46" s="211">
        <v>136.9501870021025</v>
      </c>
      <c r="S46" s="211">
        <v>1.5978035872127503E-4</v>
      </c>
      <c r="V46" s="210">
        <v>250</v>
      </c>
      <c r="W46" s="211">
        <v>3.45695655870465</v>
      </c>
      <c r="X46" s="211">
        <v>8.1098611273901984</v>
      </c>
      <c r="Y46" s="211">
        <v>0.43318231390515183</v>
      </c>
      <c r="Z46" s="211">
        <v>1.9625430463479524E-4</v>
      </c>
      <c r="AA46" s="218">
        <v>1.6004428512521527E-7</v>
      </c>
      <c r="AC46" s="219"/>
    </row>
    <row r="47" spans="2:29" ht="15.75" customHeight="1" x14ac:dyDescent="0.2">
      <c r="B47" s="101" t="s">
        <v>430</v>
      </c>
      <c r="C47" s="37"/>
      <c r="D47" s="150">
        <f>D21</f>
        <v>161.17677260731818</v>
      </c>
      <c r="E47" s="103" t="s">
        <v>16</v>
      </c>
      <c r="G47" s="36"/>
      <c r="H47" s="212">
        <v>1600</v>
      </c>
      <c r="I47" s="211">
        <v>29.681217963659947</v>
      </c>
      <c r="J47" s="211">
        <v>4.2317106075149251</v>
      </c>
      <c r="K47" s="211">
        <v>133.91292857117486</v>
      </c>
      <c r="L47" s="211">
        <v>1.3421875412123954E-4</v>
      </c>
      <c r="O47" s="210">
        <v>260</v>
      </c>
      <c r="P47" s="211">
        <v>32.060735918805477</v>
      </c>
      <c r="Q47" s="211">
        <v>4.6355171093085268</v>
      </c>
      <c r="R47" s="211">
        <v>136.696253028114</v>
      </c>
      <c r="S47" s="211">
        <v>1.5363496030891828E-4</v>
      </c>
      <c r="V47" s="212">
        <v>260</v>
      </c>
      <c r="W47" s="211">
        <v>3.45695655870465</v>
      </c>
      <c r="X47" s="211">
        <v>8.1265219856173196</v>
      </c>
      <c r="Y47" s="211">
        <v>0.41652145567803062</v>
      </c>
      <c r="Z47" s="211">
        <v>1.8870606214884159E-4</v>
      </c>
      <c r="AA47" s="218">
        <v>1.5388873569732239E-7</v>
      </c>
      <c r="AC47" s="219"/>
    </row>
    <row r="48" spans="2:29" ht="15.75" customHeight="1" x14ac:dyDescent="0.2">
      <c r="B48" s="101" t="s">
        <v>462</v>
      </c>
      <c r="C48" s="18"/>
      <c r="D48" s="150">
        <f>D47*0.03</f>
        <v>4.8353031782195455</v>
      </c>
      <c r="E48" s="103" t="s">
        <v>16</v>
      </c>
      <c r="G48" s="36"/>
      <c r="H48" s="210">
        <v>1700</v>
      </c>
      <c r="I48" s="211">
        <v>27.785814055386101</v>
      </c>
      <c r="J48" s="211">
        <v>4.4721384943546978</v>
      </c>
      <c r="K48" s="211">
        <v>132.25795254974079</v>
      </c>
      <c r="L48" s="211">
        <v>1.3517122865884919E-4</v>
      </c>
      <c r="O48" s="210">
        <v>270</v>
      </c>
      <c r="P48" s="211">
        <v>32.005786522131324</v>
      </c>
      <c r="Q48" s="211">
        <v>4.4561806601887763</v>
      </c>
      <c r="R48" s="211">
        <v>136.46196718232011</v>
      </c>
      <c r="S48" s="211">
        <v>1.4794477659377313E-4</v>
      </c>
      <c r="V48" s="210">
        <v>270</v>
      </c>
      <c r="W48" s="211">
        <v>3.4569565587046496</v>
      </c>
      <c r="X48" s="211">
        <v>8.1419487061979865</v>
      </c>
      <c r="Y48" s="211">
        <v>0.40109473509736271</v>
      </c>
      <c r="Z48" s="211">
        <v>1.8171694873592148E-4</v>
      </c>
      <c r="AA48" s="218">
        <v>1.4818915289371783E-7</v>
      </c>
      <c r="AC48" s="219"/>
    </row>
    <row r="49" spans="2:29" ht="15.75" customHeight="1" x14ac:dyDescent="0.2">
      <c r="B49" s="133" t="s">
        <v>431</v>
      </c>
      <c r="C49" s="154">
        <v>0.01</v>
      </c>
      <c r="D49" s="150">
        <f>C49*D47</f>
        <v>1.611767726073182</v>
      </c>
      <c r="E49" s="103" t="s">
        <v>16</v>
      </c>
      <c r="G49" s="36"/>
      <c r="H49" s="212">
        <v>1800</v>
      </c>
      <c r="I49" s="211">
        <v>26.124629419155376</v>
      </c>
      <c r="J49" s="211">
        <v>4.7139983423339604</v>
      </c>
      <c r="K49" s="211">
        <v>130.83862776148933</v>
      </c>
      <c r="L49" s="211">
        <v>1.3602560724072373E-4</v>
      </c>
      <c r="O49" s="210">
        <v>280</v>
      </c>
      <c r="P49" s="211">
        <v>31.954930471001841</v>
      </c>
      <c r="Q49" s="211">
        <v>4.2902035216244139</v>
      </c>
      <c r="R49" s="211">
        <v>136.24513399262625</v>
      </c>
      <c r="S49" s="211">
        <v>1.4266103457256699E-4</v>
      </c>
      <c r="V49" s="212">
        <v>280</v>
      </c>
      <c r="W49" s="211">
        <v>3.4569565587046496</v>
      </c>
      <c r="X49" s="211">
        <v>8.1562735181657491</v>
      </c>
      <c r="Y49" s="211">
        <v>0.38676992312959979</v>
      </c>
      <c r="Z49" s="211">
        <v>1.7522705770963863E-4</v>
      </c>
      <c r="AA49" s="218">
        <v>1.4289668314751365E-7</v>
      </c>
      <c r="AC49" s="219"/>
    </row>
    <row r="50" spans="2:29" ht="15.75" customHeight="1" x14ac:dyDescent="0.2">
      <c r="B50" s="133" t="s">
        <v>432</v>
      </c>
      <c r="C50" s="18"/>
      <c r="D50" s="18"/>
      <c r="E50" s="103"/>
      <c r="G50" s="36"/>
      <c r="H50" s="210">
        <v>1900</v>
      </c>
      <c r="I50" s="211">
        <v>24.656943623734659</v>
      </c>
      <c r="J50" s="211">
        <v>4.9572488501665557</v>
      </c>
      <c r="K50" s="211">
        <v>129.6141924739012</v>
      </c>
      <c r="L50" s="211">
        <v>1.3679628233526778E-4</v>
      </c>
      <c r="O50" s="210">
        <v>290</v>
      </c>
      <c r="P50" s="211">
        <v>31.907726801384488</v>
      </c>
      <c r="Q50" s="211">
        <v>4.1361465345241335</v>
      </c>
      <c r="R50" s="211">
        <v>136.04387333590861</v>
      </c>
      <c r="S50" s="211">
        <v>1.377416885528233E-4</v>
      </c>
      <c r="V50" s="210">
        <v>290</v>
      </c>
      <c r="W50" s="211">
        <v>3.4569565587046496</v>
      </c>
      <c r="X50" s="211">
        <v>8.1696104120667705</v>
      </c>
      <c r="Y50" s="211">
        <v>0.37343302922857913</v>
      </c>
      <c r="Z50" s="211">
        <v>1.6918474537482345E-4</v>
      </c>
      <c r="AA50" s="218">
        <v>1.3796921131484072E-7</v>
      </c>
      <c r="AC50" s="219"/>
    </row>
    <row r="51" spans="2:29" ht="15.75" customHeight="1" x14ac:dyDescent="0.2">
      <c r="B51" s="17" t="s">
        <v>433</v>
      </c>
      <c r="C51" s="18"/>
      <c r="D51" s="151">
        <f>D41</f>
        <v>1.8172857365655655</v>
      </c>
      <c r="E51" s="103" t="s">
        <v>16</v>
      </c>
      <c r="G51" s="36"/>
      <c r="H51" s="212">
        <v>2000</v>
      </c>
      <c r="I51" s="211">
        <v>23.350937427389074</v>
      </c>
      <c r="J51" s="211">
        <v>5.2018591420276792</v>
      </c>
      <c r="K51" s="211">
        <v>128.55279656941676</v>
      </c>
      <c r="L51" s="211">
        <v>1.3749496572552236E-4</v>
      </c>
      <c r="O51" s="210">
        <v>300</v>
      </c>
      <c r="P51" s="211">
        <v>31.863795692008392</v>
      </c>
      <c r="Q51" s="211">
        <v>3.9927700893173026</v>
      </c>
      <c r="R51" s="211">
        <v>135.85656578132568</v>
      </c>
      <c r="S51" s="211">
        <v>1.3315029893439586E-4</v>
      </c>
      <c r="V51" s="212">
        <v>300</v>
      </c>
      <c r="W51" s="211">
        <v>3.45695655870465</v>
      </c>
      <c r="X51" s="211">
        <v>8.1820581797077239</v>
      </c>
      <c r="Y51" s="211">
        <v>0.3609852615876265</v>
      </c>
      <c r="Z51" s="211">
        <v>1.6354525386232934E-4</v>
      </c>
      <c r="AA51" s="218">
        <v>1.3337023760434604E-7</v>
      </c>
      <c r="AC51" s="219"/>
    </row>
    <row r="52" spans="2:29" ht="15.75" customHeight="1" x14ac:dyDescent="0.2">
      <c r="B52" s="101" t="s">
        <v>463</v>
      </c>
      <c r="C52" s="153">
        <v>0.05</v>
      </c>
      <c r="D52" s="152">
        <f>$D$51*C52</f>
        <v>9.0864286828278282E-2</v>
      </c>
      <c r="E52" s="103" t="s">
        <v>16</v>
      </c>
      <c r="G52" s="36"/>
      <c r="H52" s="210">
        <v>2100</v>
      </c>
      <c r="I52" s="211">
        <v>22.181391264274559</v>
      </c>
      <c r="J52" s="211">
        <v>5.4478061877367079</v>
      </c>
      <c r="K52" s="211">
        <v>127.62919745201125</v>
      </c>
      <c r="L52" s="211">
        <v>1.3813128409388426E-4</v>
      </c>
      <c r="O52" s="210">
        <v>310</v>
      </c>
      <c r="P52" s="211">
        <v>31.822808222064154</v>
      </c>
      <c r="Q52" s="211">
        <v>3.8590006985123346</v>
      </c>
      <c r="R52" s="211">
        <v>135.68180892057649</v>
      </c>
      <c r="S52" s="211">
        <v>1.2885512800102827E-4</v>
      </c>
      <c r="V52" s="210">
        <v>310</v>
      </c>
      <c r="W52" s="211">
        <v>3.4569565587046496</v>
      </c>
      <c r="X52" s="211">
        <v>8.1937028655653883</v>
      </c>
      <c r="Y52" s="211">
        <v>0.34934057572996113</v>
      </c>
      <c r="Z52" s="211">
        <v>1.5826960051193163E-4</v>
      </c>
      <c r="AA52" s="218">
        <v>1.2906797187517361E-7</v>
      </c>
      <c r="AC52" s="219"/>
    </row>
    <row r="53" spans="2:29" ht="15.75" customHeight="1" x14ac:dyDescent="0.2">
      <c r="B53" s="101" t="s">
        <v>464</v>
      </c>
      <c r="C53" s="153">
        <v>0.01</v>
      </c>
      <c r="D53" s="152">
        <f t="shared" ref="D53:D58" si="0">$D$51*C53</f>
        <v>1.8172857365655656E-2</v>
      </c>
      <c r="E53" s="103" t="s">
        <v>16</v>
      </c>
      <c r="G53" s="36"/>
      <c r="H53" s="212">
        <v>2200</v>
      </c>
      <c r="I53" s="211">
        <v>21.128061571669118</v>
      </c>
      <c r="J53" s="211">
        <v>5.6950729581549542</v>
      </c>
      <c r="K53" s="211">
        <v>126.82313452982407</v>
      </c>
      <c r="L53" s="211">
        <v>1.387132227620002E-4</v>
      </c>
      <c r="O53" s="210">
        <v>320</v>
      </c>
      <c r="P53" s="211">
        <v>31.784478121041982</v>
      </c>
      <c r="Q53" s="211">
        <v>3.7339040709282321</v>
      </c>
      <c r="R53" s="211">
        <v>135.5183821919702</v>
      </c>
      <c r="S53" s="211">
        <v>1.2482840525099612E-4</v>
      </c>
      <c r="V53" s="212">
        <v>320</v>
      </c>
      <c r="W53" s="211">
        <v>3.4569565587046496</v>
      </c>
      <c r="X53" s="211">
        <v>8.2046197585569498</v>
      </c>
      <c r="Y53" s="211">
        <v>0.33842368273839979</v>
      </c>
      <c r="Z53" s="211">
        <v>1.5332367549593379E-4</v>
      </c>
      <c r="AA53" s="218">
        <v>1.2503459775407442E-7</v>
      </c>
      <c r="AC53" s="219"/>
    </row>
    <row r="54" spans="2:29" ht="15.75" customHeight="1" x14ac:dyDescent="0.2">
      <c r="B54" s="101" t="s">
        <v>465</v>
      </c>
      <c r="C54" s="153">
        <v>0.01</v>
      </c>
      <c r="D54" s="152">
        <f t="shared" si="0"/>
        <v>1.8172857365655656E-2</v>
      </c>
      <c r="E54" s="103" t="s">
        <v>16</v>
      </c>
      <c r="G54" s="36"/>
      <c r="H54" s="210">
        <v>2300</v>
      </c>
      <c r="I54" s="211">
        <v>20.174513266107397</v>
      </c>
      <c r="J54" s="211">
        <v>5.9436470825922667</v>
      </c>
      <c r="K54" s="211">
        <v>126.11816034869966</v>
      </c>
      <c r="L54" s="211">
        <v>1.3924746085748323E-4</v>
      </c>
      <c r="O54" s="210">
        <v>330</v>
      </c>
      <c r="P54" s="211">
        <v>31.748555072850284</v>
      </c>
      <c r="Q54" s="211">
        <v>3.6166632585775642</v>
      </c>
      <c r="R54" s="211">
        <v>135.36521833142785</v>
      </c>
      <c r="S54" s="211">
        <v>1.2104572630399624E-4</v>
      </c>
      <c r="V54" s="210">
        <v>330</v>
      </c>
      <c r="W54" s="211">
        <v>3.4569565587046496</v>
      </c>
      <c r="X54" s="211">
        <v>8.2148750216702346</v>
      </c>
      <c r="Y54" s="211">
        <v>0.32816841962511495</v>
      </c>
      <c r="Z54" s="211">
        <v>1.486775035112085E-4</v>
      </c>
      <c r="AA54" s="218">
        <v>1.2124567054940549E-7</v>
      </c>
      <c r="AC54" s="219"/>
    </row>
    <row r="55" spans="2:29" ht="15.75" customHeight="1" x14ac:dyDescent="0.2">
      <c r="B55" s="101" t="s">
        <v>466</v>
      </c>
      <c r="C55" s="153">
        <v>0.1</v>
      </c>
      <c r="D55" s="152">
        <f t="shared" si="0"/>
        <v>0.18172857365655656</v>
      </c>
      <c r="E55" s="103" t="s">
        <v>16</v>
      </c>
      <c r="G55" s="36"/>
      <c r="H55" s="212">
        <v>2400</v>
      </c>
      <c r="I55" s="211">
        <v>19.307265742905386</v>
      </c>
      <c r="J55" s="211">
        <v>6.1935198558693889</v>
      </c>
      <c r="K55" s="211">
        <v>125.50078559877477</v>
      </c>
      <c r="L55" s="211">
        <v>1.3973962765358926E-4</v>
      </c>
      <c r="O55" s="210">
        <v>340</v>
      </c>
      <c r="P55" s="211">
        <v>31.714819242994821</v>
      </c>
      <c r="Q55" s="211">
        <v>3.5065607952099875</v>
      </c>
      <c r="R55" s="211">
        <v>135.22138003820481</v>
      </c>
      <c r="S55" s="211">
        <v>1.1748555788329047E-4</v>
      </c>
      <c r="V55" s="212">
        <v>340</v>
      </c>
      <c r="W55" s="211">
        <v>3.4569565587046505</v>
      </c>
      <c r="X55" s="211">
        <v>8.2245270340121515</v>
      </c>
      <c r="Y55" s="211">
        <v>0.31851640728319991</v>
      </c>
      <c r="Z55" s="211">
        <v>1.4430463576087886E-4</v>
      </c>
      <c r="AA55" s="218">
        <v>1.1767962141559949E-7</v>
      </c>
      <c r="AC55" s="219"/>
    </row>
    <row r="56" spans="2:29" ht="15.75" customHeight="1" x14ac:dyDescent="0.2">
      <c r="B56" s="101" t="s">
        <v>467</v>
      </c>
      <c r="C56" s="153">
        <v>0.01</v>
      </c>
      <c r="D56" s="152">
        <f t="shared" si="0"/>
        <v>1.8172857365655656E-2</v>
      </c>
      <c r="E56" s="103" t="s">
        <v>16</v>
      </c>
      <c r="G56" s="36"/>
      <c r="H56" s="210">
        <v>2500</v>
      </c>
      <c r="I56" s="211">
        <v>18.515158502812827</v>
      </c>
      <c r="J56" s="211">
        <v>6.4446854933179454</v>
      </c>
      <c r="K56" s="211">
        <v>124.95984399613077</v>
      </c>
      <c r="L56" s="211">
        <v>1.4019450087448136E-4</v>
      </c>
      <c r="O56" s="210">
        <v>350</v>
      </c>
      <c r="P56" s="211">
        <v>31.68307677588227</v>
      </c>
      <c r="Q56" s="211">
        <v>3.4029640010172808</v>
      </c>
      <c r="R56" s="211">
        <v>135.08604077689955</v>
      </c>
      <c r="S56" s="211">
        <v>1.141288276580536E-4</v>
      </c>
      <c r="V56" s="210">
        <v>350</v>
      </c>
      <c r="W56" s="211">
        <v>3.4569565587046496</v>
      </c>
      <c r="X56" s="211">
        <v>8.2336275027916699</v>
      </c>
      <c r="Y56" s="211">
        <v>0.30941593850367988</v>
      </c>
      <c r="Z56" s="211">
        <v>1.4018164616771086E-4</v>
      </c>
      <c r="AA56" s="218">
        <v>1.143173465180109E-7</v>
      </c>
      <c r="AC56" s="219"/>
    </row>
    <row r="57" spans="2:29" ht="15.75" customHeight="1" x14ac:dyDescent="0.2">
      <c r="B57" s="101" t="s">
        <v>468</v>
      </c>
      <c r="C57" s="153">
        <v>0.01</v>
      </c>
      <c r="D57" s="152">
        <f t="shared" si="0"/>
        <v>1.8172857365655656E-2</v>
      </c>
      <c r="E57" s="103" t="s">
        <v>16</v>
      </c>
      <c r="G57" s="36"/>
      <c r="H57" s="212">
        <v>2600</v>
      </c>
      <c r="I57" s="211">
        <v>17.788873294520716</v>
      </c>
      <c r="J57" s="211">
        <v>6.6971405644616055</v>
      </c>
      <c r="K57" s="211">
        <v>124.48601385898232</v>
      </c>
      <c r="L57" s="211">
        <v>1.4061616172405554E-4</v>
      </c>
      <c r="O57" s="210">
        <v>360</v>
      </c>
      <c r="P57" s="211">
        <v>31.653156067377861</v>
      </c>
      <c r="Q57" s="211">
        <v>3.3053128175084447</v>
      </c>
      <c r="R57" s="211">
        <v>134.95846888488632</v>
      </c>
      <c r="S57" s="211">
        <v>1.1095858244532986E-4</v>
      </c>
      <c r="V57" s="212">
        <v>360</v>
      </c>
      <c r="W57" s="211">
        <v>3.45695655870465</v>
      </c>
      <c r="X57" s="211">
        <v>8.2422223899723281</v>
      </c>
      <c r="Y57" s="211">
        <v>0.30082105132302212</v>
      </c>
      <c r="Z57" s="211">
        <v>1.3628771155194114E-4</v>
      </c>
      <c r="AA57" s="218">
        <v>1.1114186467028839E-7</v>
      </c>
      <c r="AC57" s="219"/>
    </row>
    <row r="58" spans="2:29" ht="15.75" customHeight="1" x14ac:dyDescent="0.2">
      <c r="B58" s="101" t="s">
        <v>469</v>
      </c>
      <c r="C58" s="153">
        <v>0.01</v>
      </c>
      <c r="D58" s="152">
        <f t="shared" si="0"/>
        <v>1.8172857365655656E-2</v>
      </c>
      <c r="E58" s="103" t="s">
        <v>16</v>
      </c>
      <c r="G58" s="36"/>
      <c r="H58" s="210">
        <v>2700</v>
      </c>
      <c r="I58" s="211">
        <v>17.120569549583312</v>
      </c>
      <c r="J58" s="211">
        <v>6.9508835573793242</v>
      </c>
      <c r="K58" s="211">
        <v>124.07145310696264</v>
      </c>
      <c r="L58" s="211">
        <v>1.4100811726125144E-4</v>
      </c>
      <c r="O58" s="210">
        <v>370</v>
      </c>
      <c r="P58" s="211">
        <v>31.624904661234815</v>
      </c>
      <c r="Q58" s="211">
        <v>3.2131096784935171</v>
      </c>
      <c r="R58" s="211">
        <v>134.83801433972835</v>
      </c>
      <c r="S58" s="211">
        <v>1.0795970183869931E-4</v>
      </c>
      <c r="V58" s="210">
        <v>370</v>
      </c>
      <c r="W58" s="211">
        <v>3.45695655870465</v>
      </c>
      <c r="X58" s="211">
        <v>8.2503526886567347</v>
      </c>
      <c r="Y58" s="211">
        <v>0.2926907526386161</v>
      </c>
      <c r="Z58" s="211">
        <v>1.3260425988837515E-4</v>
      </c>
      <c r="AA58" s="218">
        <v>1.0813803049001032E-7</v>
      </c>
      <c r="AC58" s="219"/>
    </row>
    <row r="59" spans="2:29" ht="15.75" customHeight="1" x14ac:dyDescent="0.2">
      <c r="B59" s="133" t="s">
        <v>453</v>
      </c>
      <c r="C59" s="18"/>
      <c r="D59" s="18"/>
      <c r="E59" s="103"/>
      <c r="G59" s="36"/>
      <c r="H59" s="212">
        <v>2800</v>
      </c>
      <c r="I59" s="211">
        <v>16.503602997161291</v>
      </c>
      <c r="J59" s="211">
        <v>7.2059145399407933</v>
      </c>
      <c r="K59" s="211">
        <v>123.70951753710209</v>
      </c>
      <c r="L59" s="211">
        <v>1.4137339786795178E-4</v>
      </c>
      <c r="O59" s="210">
        <v>380</v>
      </c>
      <c r="P59" s="211">
        <v>31.598186650879345</v>
      </c>
      <c r="Q59" s="211">
        <v>3.1259110303789983</v>
      </c>
      <c r="R59" s="211">
        <v>134.72409768125834</v>
      </c>
      <c r="S59" s="211">
        <v>1.0511865705347041E-4</v>
      </c>
      <c r="V59" s="212">
        <v>380</v>
      </c>
      <c r="W59" s="211">
        <v>3.45695655870465</v>
      </c>
      <c r="X59" s="211">
        <v>8.2580550768840659</v>
      </c>
      <c r="Y59" s="211">
        <v>0.28498836441128411</v>
      </c>
      <c r="Z59" s="211">
        <v>1.2911467410183899E-4</v>
      </c>
      <c r="AA59" s="218">
        <v>1.0529229284553637E-7</v>
      </c>
      <c r="AC59" s="219"/>
    </row>
    <row r="60" spans="2:29" ht="15.75" customHeight="1" x14ac:dyDescent="0.2">
      <c r="B60" s="17">
        <v>2</v>
      </c>
      <c r="C60" s="135">
        <v>8</v>
      </c>
      <c r="D60" s="151">
        <f>INDEX(F83:F142,B60)*C60</f>
        <v>2.64</v>
      </c>
      <c r="E60" s="103" t="s">
        <v>16</v>
      </c>
      <c r="G60" s="36"/>
      <c r="H60" s="210">
        <v>2900</v>
      </c>
      <c r="I60" s="211">
        <v>15.932306150125909</v>
      </c>
      <c r="J60" s="211">
        <v>7.4622348937440108</v>
      </c>
      <c r="K60" s="211">
        <v>123.39454104386992</v>
      </c>
      <c r="L60" s="211">
        <v>1.4171463552585759E-4</v>
      </c>
      <c r="O60" s="210">
        <v>390</v>
      </c>
      <c r="P60" s="211">
        <v>31.572880493085968</v>
      </c>
      <c r="Q60" s="211">
        <v>3.0433201967354471</v>
      </c>
      <c r="R60" s="211">
        <v>134.61620068982143</v>
      </c>
      <c r="S60" s="211">
        <v>1.0242330687261219E-4</v>
      </c>
      <c r="V60" s="210">
        <v>390</v>
      </c>
      <c r="W60" s="211">
        <v>3.45695655870465</v>
      </c>
      <c r="X60" s="211">
        <v>8.2653624708433302</v>
      </c>
      <c r="Y60" s="211">
        <v>0.27768097045202039</v>
      </c>
      <c r="Z60" s="211">
        <v>1.2580404143256103E-4</v>
      </c>
      <c r="AA60" s="218">
        <v>1.0259249046488158E-7</v>
      </c>
      <c r="AC60" s="219"/>
    </row>
    <row r="61" spans="2:29" ht="15.75" customHeight="1" x14ac:dyDescent="0.2">
      <c r="B61" s="133" t="s">
        <v>434</v>
      </c>
      <c r="C61" s="18"/>
      <c r="D61" s="151">
        <f>SUM(D47:D60)</f>
        <v>172.44458639548952</v>
      </c>
      <c r="E61" s="103" t="s">
        <v>16</v>
      </c>
      <c r="G61" s="36"/>
      <c r="H61" s="212">
        <v>3000</v>
      </c>
      <c r="I61" s="211">
        <v>15.401815366811537</v>
      </c>
      <c r="J61" s="211">
        <v>7.7198471032396441</v>
      </c>
      <c r="K61" s="211">
        <v>123.12166247005118</v>
      </c>
      <c r="L61" s="211">
        <v>1.4203412716794943E-4</v>
      </c>
      <c r="O61" s="210">
        <v>400</v>
      </c>
      <c r="P61" s="211">
        <v>31.548877159325144</v>
      </c>
      <c r="Q61" s="211">
        <v>2.9649813449145808</v>
      </c>
      <c r="R61" s="211">
        <v>134.51385850423972</v>
      </c>
      <c r="S61" s="211">
        <v>9.9862724200796893E-5</v>
      </c>
      <c r="V61" s="212">
        <v>400</v>
      </c>
      <c r="W61" s="211">
        <v>3.4569565587046505</v>
      </c>
      <c r="X61" s="211">
        <v>8.2723044951046312</v>
      </c>
      <c r="Y61" s="211">
        <v>0.27073894619071986</v>
      </c>
      <c r="Z61" s="211">
        <v>1.2265894039674701E-4</v>
      </c>
      <c r="AA61" s="218">
        <v>1.0002767820325956E-7</v>
      </c>
      <c r="AC61" s="219"/>
    </row>
    <row r="62" spans="2:29" ht="15.75" customHeight="1" x14ac:dyDescent="0.2">
      <c r="B62" s="133" t="s">
        <v>435</v>
      </c>
      <c r="C62" s="18"/>
      <c r="D62" s="151">
        <f>D61-D47</f>
        <v>11.267813788171338</v>
      </c>
      <c r="E62" s="103" t="s">
        <v>16</v>
      </c>
      <c r="G62" s="36"/>
      <c r="H62" s="210">
        <v>3100</v>
      </c>
      <c r="I62" s="211">
        <v>14.907933363237051</v>
      </c>
      <c r="J62" s="211">
        <v>7.9787545871889032</v>
      </c>
      <c r="K62" s="211">
        <v>122.88668795042595</v>
      </c>
      <c r="L62" s="211">
        <v>1.4233388632057511E-4</v>
      </c>
      <c r="O62" s="210">
        <v>410</v>
      </c>
      <c r="P62" s="211">
        <v>31.526078565465408</v>
      </c>
      <c r="Q62" s="211">
        <v>2.8905743611223191</v>
      </c>
      <c r="R62" s="211">
        <v>134.41665292658772</v>
      </c>
      <c r="S62" s="211">
        <v>9.7427048000777467E-5</v>
      </c>
      <c r="V62" s="210">
        <v>410</v>
      </c>
      <c r="W62" s="211">
        <v>3.4569565587046496</v>
      </c>
      <c r="X62" s="211">
        <v>8.2789078840361103</v>
      </c>
      <c r="Y62" s="211">
        <v>0.26413555725923887</v>
      </c>
      <c r="Z62" s="211">
        <v>1.1966725892365563E-4</v>
      </c>
      <c r="AA62" s="218">
        <v>9.7587978734887346E-8</v>
      </c>
      <c r="AC62" s="219"/>
    </row>
    <row r="63" spans="2:29" ht="15.75" customHeight="1" x14ac:dyDescent="0.2">
      <c r="B63" s="133" t="s">
        <v>436</v>
      </c>
      <c r="C63" s="18"/>
      <c r="D63" s="151">
        <f>D62-D48</f>
        <v>6.4325106099517928</v>
      </c>
      <c r="E63" s="103" t="s">
        <v>16</v>
      </c>
      <c r="G63" s="36"/>
      <c r="H63" s="212">
        <v>3200</v>
      </c>
      <c r="I63" s="211">
        <v>14.447018984992438</v>
      </c>
      <c r="J63" s="211">
        <v>8.2389615629133655</v>
      </c>
      <c r="K63" s="211">
        <v>122.6859805479058</v>
      </c>
      <c r="L63" s="211">
        <v>1.4261568548433608E-4</v>
      </c>
      <c r="O63" s="210">
        <v>420</v>
      </c>
      <c r="P63" s="211">
        <v>31.504396232129402</v>
      </c>
      <c r="Q63" s="211">
        <v>2.8198104782689994</v>
      </c>
      <c r="R63" s="211">
        <v>134.32420671039841</v>
      </c>
      <c r="S63" s="211">
        <v>9.5107356381711315E-5</v>
      </c>
      <c r="V63" s="212">
        <v>420</v>
      </c>
      <c r="W63" s="211">
        <v>3.4569565587046496</v>
      </c>
      <c r="X63" s="211">
        <v>8.2851968258756159</v>
      </c>
      <c r="Y63" s="211">
        <v>0.25784661541973319</v>
      </c>
      <c r="Z63" s="211">
        <v>1.1681803847309238E-4</v>
      </c>
      <c r="AA63" s="218">
        <v>9.5264455431675751E-8</v>
      </c>
      <c r="AC63" s="219"/>
    </row>
    <row r="64" spans="2:29" ht="15.75" customHeight="1" thickBot="1" x14ac:dyDescent="0.25">
      <c r="B64" s="136" t="s">
        <v>399</v>
      </c>
      <c r="C64" s="155"/>
      <c r="D64" s="156">
        <f>D62/(D62+D47)</f>
        <v>6.5341649881251712E-2</v>
      </c>
      <c r="E64" s="137" t="s">
        <v>400</v>
      </c>
      <c r="G64" s="36"/>
      <c r="H64" s="210">
        <v>3300</v>
      </c>
      <c r="I64" s="211">
        <v>14.015898140060189</v>
      </c>
      <c r="J64" s="211">
        <v>8.5004729361767826</v>
      </c>
      <c r="K64" s="211">
        <v>122.51637107623696</v>
      </c>
      <c r="L64" s="211">
        <v>1.4288109113423314E-4</v>
      </c>
      <c r="O64" s="210">
        <v>430</v>
      </c>
      <c r="P64" s="211">
        <v>31.483750137121991</v>
      </c>
      <c r="Q64" s="211">
        <v>2.7524285306786749</v>
      </c>
      <c r="R64" s="211">
        <v>134.23617866780066</v>
      </c>
      <c r="S64" s="211">
        <v>9.2895557396090137E-5</v>
      </c>
      <c r="V64" s="210">
        <v>430</v>
      </c>
      <c r="W64" s="211">
        <v>3.4569565587046496</v>
      </c>
      <c r="X64" s="211">
        <v>8.2911932587923545</v>
      </c>
      <c r="Y64" s="211">
        <v>0.25185018250299518</v>
      </c>
      <c r="Z64" s="211">
        <v>1.141013399039507E-4</v>
      </c>
      <c r="AA64" s="218">
        <v>9.3049002979776307E-8</v>
      </c>
      <c r="AC64" s="219"/>
    </row>
    <row r="65" spans="2:14" x14ac:dyDescent="0.2">
      <c r="G65" s="36"/>
    </row>
    <row r="66" spans="2:14" ht="21" thickBot="1" x14ac:dyDescent="0.35">
      <c r="B66" s="21" t="s">
        <v>424</v>
      </c>
      <c r="E66" s="130" t="s">
        <v>421</v>
      </c>
    </row>
    <row r="67" spans="2:14" ht="39" thickBot="1" x14ac:dyDescent="0.25">
      <c r="B67" s="91" t="s">
        <v>233</v>
      </c>
      <c r="C67" s="92" t="s">
        <v>111</v>
      </c>
      <c r="D67" s="92" t="s">
        <v>416</v>
      </c>
      <c r="E67" s="92" t="s">
        <v>491</v>
      </c>
      <c r="F67" s="93" t="s">
        <v>442</v>
      </c>
    </row>
    <row r="68" spans="2:14" x14ac:dyDescent="0.2">
      <c r="B68" s="114" t="s">
        <v>334</v>
      </c>
      <c r="C68" s="145">
        <v>1500</v>
      </c>
      <c r="D68" s="145">
        <v>0.02</v>
      </c>
      <c r="E68" s="221">
        <v>1600</v>
      </c>
      <c r="F68" s="146">
        <f>0.006*3000</f>
        <v>18</v>
      </c>
    </row>
    <row r="69" spans="2:14" x14ac:dyDescent="0.2">
      <c r="B69" s="48" t="s">
        <v>492</v>
      </c>
      <c r="C69" s="143">
        <v>70</v>
      </c>
      <c r="D69" s="143" t="s">
        <v>418</v>
      </c>
      <c r="E69" s="143">
        <v>808</v>
      </c>
      <c r="F69" s="147">
        <v>4.4000000000000004</v>
      </c>
    </row>
    <row r="70" spans="2:14" x14ac:dyDescent="0.2">
      <c r="B70" s="45" t="s">
        <v>227</v>
      </c>
      <c r="C70" s="142">
        <v>225</v>
      </c>
      <c r="D70" s="142" t="s">
        <v>417</v>
      </c>
      <c r="E70" s="142">
        <v>1004</v>
      </c>
      <c r="F70" s="147">
        <v>3.2</v>
      </c>
    </row>
    <row r="71" spans="2:14" x14ac:dyDescent="0.2">
      <c r="B71" s="55" t="s">
        <v>228</v>
      </c>
      <c r="C71" s="143">
        <v>330</v>
      </c>
      <c r="D71" s="143" t="s">
        <v>420</v>
      </c>
      <c r="E71" s="143">
        <v>1168</v>
      </c>
      <c r="F71" s="147">
        <v>3.7</v>
      </c>
    </row>
    <row r="72" spans="2:14" ht="13.5" thickBot="1" x14ac:dyDescent="0.25">
      <c r="B72" s="129" t="s">
        <v>267</v>
      </c>
      <c r="C72" s="144">
        <v>450</v>
      </c>
      <c r="D72" s="144" t="s">
        <v>419</v>
      </c>
      <c r="E72" s="144">
        <v>280</v>
      </c>
      <c r="F72" s="148">
        <v>3.7</v>
      </c>
    </row>
    <row r="73" spans="2:14" x14ac:dyDescent="0.2">
      <c r="G73" s="36"/>
    </row>
    <row r="74" spans="2:14" ht="21" thickBot="1" x14ac:dyDescent="0.35">
      <c r="B74" s="21" t="s">
        <v>493</v>
      </c>
    </row>
    <row r="75" spans="2:14" ht="38.25" x14ac:dyDescent="0.2">
      <c r="B75" s="107" t="s">
        <v>346</v>
      </c>
      <c r="C75" s="222" t="s">
        <v>383</v>
      </c>
      <c r="D75" s="222" t="s">
        <v>382</v>
      </c>
      <c r="E75" s="222" t="s">
        <v>397</v>
      </c>
      <c r="F75" s="222" t="s">
        <v>390</v>
      </c>
      <c r="G75" s="222" t="s">
        <v>386</v>
      </c>
      <c r="H75" s="222" t="s">
        <v>494</v>
      </c>
      <c r="I75" s="231" t="s">
        <v>19</v>
      </c>
      <c r="J75" s="231"/>
      <c r="K75" s="231"/>
      <c r="L75" s="231"/>
      <c r="M75" s="231"/>
      <c r="N75" s="232"/>
    </row>
    <row r="76" spans="2:14" x14ac:dyDescent="0.2">
      <c r="B76" s="183" t="s">
        <v>495</v>
      </c>
      <c r="C76" s="111">
        <f>(0.45359237 / 0.000016387064) * D76</f>
        <v>2767.9904710203127</v>
      </c>
      <c r="D76" s="82">
        <v>0.1</v>
      </c>
      <c r="E76" s="105">
        <f>F76*0.0068948</f>
        <v>482.63600000000002</v>
      </c>
      <c r="F76" s="105">
        <v>70000</v>
      </c>
      <c r="G76" s="82">
        <v>350</v>
      </c>
      <c r="H76" s="106" t="s">
        <v>387</v>
      </c>
      <c r="I76" s="233" t="s">
        <v>391</v>
      </c>
      <c r="J76" s="233"/>
      <c r="K76" s="233"/>
      <c r="L76" s="233"/>
      <c r="M76" s="233"/>
      <c r="N76" s="234"/>
    </row>
    <row r="77" spans="2:14" x14ac:dyDescent="0.2">
      <c r="B77" s="104" t="s">
        <v>395</v>
      </c>
      <c r="C77" s="112">
        <f>(0.45359237 / 0.000016387064) * D77</f>
        <v>7888.7728424078905</v>
      </c>
      <c r="D77" s="82">
        <v>0.28499999999999998</v>
      </c>
      <c r="E77" s="105">
        <f>F77*0.0068948</f>
        <v>1034.22</v>
      </c>
      <c r="F77" s="105">
        <v>150000</v>
      </c>
      <c r="G77" s="82">
        <v>800</v>
      </c>
      <c r="H77" s="106" t="s">
        <v>388</v>
      </c>
      <c r="I77" s="235" t="s">
        <v>392</v>
      </c>
      <c r="J77" s="235"/>
      <c r="K77" s="235"/>
      <c r="L77" s="235"/>
      <c r="M77" s="235"/>
      <c r="N77" s="236"/>
    </row>
    <row r="78" spans="2:14" x14ac:dyDescent="0.2">
      <c r="B78" s="104" t="s">
        <v>384</v>
      </c>
      <c r="C78" s="112">
        <f>(0.45359237 / 0.000016387064) * D78</f>
        <v>4428.7847536324998</v>
      </c>
      <c r="D78" s="82">
        <v>0.16</v>
      </c>
      <c r="E78" s="105">
        <f>F78*0.0068948</f>
        <v>827.37600000000009</v>
      </c>
      <c r="F78" s="105">
        <v>120000</v>
      </c>
      <c r="G78" s="82">
        <v>800</v>
      </c>
      <c r="H78" s="106" t="s">
        <v>388</v>
      </c>
      <c r="I78" s="235" t="s">
        <v>393</v>
      </c>
      <c r="J78" s="235"/>
      <c r="K78" s="235"/>
      <c r="L78" s="235"/>
      <c r="M78" s="235"/>
      <c r="N78" s="236"/>
    </row>
    <row r="79" spans="2:14" ht="13.5" thickBot="1" x14ac:dyDescent="0.25">
      <c r="B79" s="108" t="s">
        <v>385</v>
      </c>
      <c r="C79" s="113">
        <f>(0.45359237 / 0.000016387064) * D79</f>
        <v>1633.1143779019844</v>
      </c>
      <c r="D79" s="85">
        <v>5.8999999999999997E-2</v>
      </c>
      <c r="E79" s="109">
        <f>F79*0.0068948</f>
        <v>4136.88</v>
      </c>
      <c r="F79" s="109">
        <v>600000</v>
      </c>
      <c r="G79" s="85">
        <v>300</v>
      </c>
      <c r="H79" s="110" t="s">
        <v>387</v>
      </c>
      <c r="I79" s="237" t="s">
        <v>394</v>
      </c>
      <c r="J79" s="237"/>
      <c r="K79" s="237"/>
      <c r="L79" s="237"/>
      <c r="M79" s="237"/>
      <c r="N79" s="238"/>
    </row>
    <row r="80" spans="2:14" x14ac:dyDescent="0.2">
      <c r="E80" s="130"/>
      <c r="G80" s="36"/>
    </row>
    <row r="81" spans="2:30" ht="21" thickBot="1" x14ac:dyDescent="0.35">
      <c r="B81" s="21" t="s">
        <v>482</v>
      </c>
    </row>
    <row r="82" spans="2:30" ht="44.25" customHeight="1" thickBot="1" x14ac:dyDescent="0.25">
      <c r="B82" s="91" t="s">
        <v>233</v>
      </c>
      <c r="C82" s="92" t="s">
        <v>20</v>
      </c>
      <c r="D82" s="92" t="s">
        <v>21</v>
      </c>
      <c r="E82" s="92" t="s">
        <v>491</v>
      </c>
      <c r="F82" s="92" t="s">
        <v>49</v>
      </c>
      <c r="G82" s="92" t="s">
        <v>22</v>
      </c>
      <c r="H82" s="92" t="s">
        <v>23</v>
      </c>
      <c r="I82" s="92" t="s">
        <v>24</v>
      </c>
      <c r="J82" s="92" t="s">
        <v>25</v>
      </c>
      <c r="K82" s="92" t="s">
        <v>111</v>
      </c>
      <c r="L82" s="92" t="s">
        <v>26</v>
      </c>
      <c r="M82" s="92" t="s">
        <v>27</v>
      </c>
      <c r="N82" s="92" t="s">
        <v>50</v>
      </c>
      <c r="O82" s="92" t="s">
        <v>51</v>
      </c>
      <c r="P82" s="92" t="s">
        <v>18</v>
      </c>
      <c r="Q82" s="92" t="s">
        <v>52</v>
      </c>
      <c r="R82" s="92" t="s">
        <v>53</v>
      </c>
      <c r="S82" s="92" t="s">
        <v>54</v>
      </c>
      <c r="T82" s="92" t="s">
        <v>28</v>
      </c>
      <c r="U82" s="92"/>
      <c r="V82" s="92" t="s">
        <v>496</v>
      </c>
      <c r="W82" s="92" t="s">
        <v>29</v>
      </c>
      <c r="X82" s="92" t="s">
        <v>30</v>
      </c>
      <c r="Y82" s="92" t="s">
        <v>31</v>
      </c>
      <c r="Z82" s="92" t="s">
        <v>19</v>
      </c>
      <c r="AA82" s="92" t="s">
        <v>32</v>
      </c>
      <c r="AB82" s="92" t="s">
        <v>234</v>
      </c>
      <c r="AC82" s="93" t="s">
        <v>235</v>
      </c>
      <c r="AD82" s="35"/>
    </row>
    <row r="83" spans="2:30" ht="15" customHeight="1" x14ac:dyDescent="0.2">
      <c r="B83" s="114" t="s">
        <v>334</v>
      </c>
      <c r="C83" s="115"/>
      <c r="D83" s="98" t="s">
        <v>372</v>
      </c>
      <c r="E83" s="220">
        <v>1600</v>
      </c>
      <c r="F83" s="117">
        <v>500</v>
      </c>
      <c r="G83" s="116"/>
      <c r="H83" s="116"/>
      <c r="I83" s="116">
        <f>3000*6</f>
        <v>18000</v>
      </c>
      <c r="J83" s="116">
        <f>3000*6</f>
        <v>18000</v>
      </c>
      <c r="K83" s="116"/>
      <c r="L83" s="98">
        <v>1500</v>
      </c>
      <c r="M83" s="116"/>
      <c r="N83" s="117"/>
      <c r="O83" s="117"/>
      <c r="P83" s="116"/>
      <c r="Q83" s="116"/>
      <c r="R83" s="116"/>
      <c r="S83" s="117"/>
      <c r="T83" s="116"/>
      <c r="U83" s="116"/>
      <c r="V83" s="116"/>
      <c r="W83" s="116"/>
      <c r="X83" s="116"/>
      <c r="Y83" s="116"/>
      <c r="Z83" s="116"/>
      <c r="AA83" s="116"/>
      <c r="AB83" s="116"/>
      <c r="AC83" s="118"/>
      <c r="AD83" s="38"/>
    </row>
    <row r="84" spans="2:30" x14ac:dyDescent="0.2">
      <c r="B84" s="45" t="s">
        <v>227</v>
      </c>
      <c r="C84" s="46" t="s">
        <v>112</v>
      </c>
      <c r="D84" s="89" t="s">
        <v>113</v>
      </c>
      <c r="E84" s="46">
        <v>1004</v>
      </c>
      <c r="F84" s="46">
        <v>0.33</v>
      </c>
      <c r="G84" s="46">
        <v>8.25</v>
      </c>
      <c r="H84" s="47">
        <f>0.2*4.448</f>
        <v>0.88960000000000017</v>
      </c>
      <c r="I84" s="46">
        <f>420/14.7*101.3246</f>
        <v>2894.9885714285715</v>
      </c>
      <c r="J84" s="46">
        <f>70/14.7*101.3246</f>
        <v>482.49809523809523</v>
      </c>
      <c r="K84" s="46">
        <v>215</v>
      </c>
      <c r="L84" s="89">
        <v>180</v>
      </c>
      <c r="M84" s="47">
        <v>9</v>
      </c>
      <c r="N84" s="47"/>
      <c r="O84" s="47"/>
      <c r="P84" s="47"/>
      <c r="Q84" s="47"/>
      <c r="R84" s="47"/>
      <c r="S84" s="46"/>
      <c r="T84" s="46">
        <v>5</v>
      </c>
      <c r="U84" s="46"/>
      <c r="V84" s="46">
        <v>90000</v>
      </c>
      <c r="W84" s="46">
        <v>745864</v>
      </c>
      <c r="X84" s="46">
        <f>1*2.54</f>
        <v>2.54</v>
      </c>
      <c r="Y84" s="46">
        <v>17.350000000000001</v>
      </c>
      <c r="Z84" s="46" t="s">
        <v>114</v>
      </c>
      <c r="AA84" s="46" t="s">
        <v>107</v>
      </c>
      <c r="AB84" s="142">
        <v>325</v>
      </c>
      <c r="AC84" s="119">
        <v>100</v>
      </c>
      <c r="AD84" s="38">
        <f>12.69*AB84</f>
        <v>4124.25</v>
      </c>
    </row>
    <row r="85" spans="2:30" x14ac:dyDescent="0.2">
      <c r="B85" s="48" t="s">
        <v>227</v>
      </c>
      <c r="C85" s="49" t="s">
        <v>115</v>
      </c>
      <c r="D85" s="90" t="s">
        <v>116</v>
      </c>
      <c r="E85" s="46">
        <v>1004</v>
      </c>
      <c r="F85" s="50">
        <f>0.73/2.205</f>
        <v>0.33106575963718821</v>
      </c>
      <c r="G85" s="49">
        <v>8.25</v>
      </c>
      <c r="H85" s="57">
        <f>0.5*4.448</f>
        <v>2.2240000000000002</v>
      </c>
      <c r="I85" s="51">
        <f>370/14.7*101.3246</f>
        <v>2550.3470748299319</v>
      </c>
      <c r="J85" s="51">
        <f>60/14.7*101.3246</f>
        <v>413.56979591836739</v>
      </c>
      <c r="K85" s="49">
        <v>220</v>
      </c>
      <c r="L85" s="90">
        <v>180</v>
      </c>
      <c r="M85" s="52">
        <v>9</v>
      </c>
      <c r="N85" s="52"/>
      <c r="O85" s="52"/>
      <c r="P85" s="52"/>
      <c r="Q85" s="52"/>
      <c r="R85" s="52"/>
      <c r="S85" s="53"/>
      <c r="T85" s="49">
        <v>5</v>
      </c>
      <c r="U85" s="49"/>
      <c r="V85" s="54">
        <f>58500*4.448</f>
        <v>260208.00000000003</v>
      </c>
      <c r="W85" s="54">
        <v>420000</v>
      </c>
      <c r="X85" s="53">
        <f>1.5*2.54</f>
        <v>3.81</v>
      </c>
      <c r="Y85" s="53">
        <f>6.64*2.54</f>
        <v>16.865600000000001</v>
      </c>
      <c r="Z85" s="49" t="s">
        <v>117</v>
      </c>
      <c r="AA85" s="49" t="s">
        <v>107</v>
      </c>
      <c r="AB85" s="142">
        <v>325</v>
      </c>
      <c r="AC85" s="119">
        <v>100</v>
      </c>
      <c r="AD85" s="38">
        <f>AD84*6.894</f>
        <v>28432.5795</v>
      </c>
    </row>
    <row r="86" spans="2:30" x14ac:dyDescent="0.2">
      <c r="B86" s="48" t="s">
        <v>227</v>
      </c>
      <c r="C86" s="49" t="s">
        <v>118</v>
      </c>
      <c r="D86" s="90" t="s">
        <v>119</v>
      </c>
      <c r="E86" s="46">
        <v>1004</v>
      </c>
      <c r="F86" s="50">
        <f>0.73/2.205</f>
        <v>0.33106575963718821</v>
      </c>
      <c r="G86" s="49">
        <v>8.25</v>
      </c>
      <c r="H86" s="57">
        <f>1*4.448</f>
        <v>4.4480000000000004</v>
      </c>
      <c r="I86" s="51">
        <f>400/14.7*101.3246</f>
        <v>2757.1319727891159</v>
      </c>
      <c r="J86" s="51">
        <f>80/14.7*101.3246</f>
        <v>551.42639455782319</v>
      </c>
      <c r="K86" s="49">
        <v>225</v>
      </c>
      <c r="L86" s="90">
        <v>180</v>
      </c>
      <c r="M86" s="52">
        <v>9</v>
      </c>
      <c r="N86" s="52"/>
      <c r="O86" s="52"/>
      <c r="P86" s="52"/>
      <c r="Q86" s="52"/>
      <c r="R86" s="52"/>
      <c r="S86" s="53"/>
      <c r="T86" s="49">
        <v>5</v>
      </c>
      <c r="U86" s="49"/>
      <c r="V86" s="54">
        <f>58500*4.448</f>
        <v>260208.00000000003</v>
      </c>
      <c r="W86" s="54">
        <v>420000</v>
      </c>
      <c r="X86" s="53">
        <f>1.5*2.54</f>
        <v>3.81</v>
      </c>
      <c r="Y86" s="53">
        <f>6.64*2.54</f>
        <v>16.865600000000001</v>
      </c>
      <c r="Z86" s="49" t="s">
        <v>120</v>
      </c>
      <c r="AA86" s="49" t="s">
        <v>107</v>
      </c>
      <c r="AB86" s="142">
        <v>325</v>
      </c>
      <c r="AC86" s="119">
        <v>100</v>
      </c>
      <c r="AD86" s="38"/>
    </row>
    <row r="87" spans="2:30" x14ac:dyDescent="0.2">
      <c r="B87" s="48" t="s">
        <v>227</v>
      </c>
      <c r="C87" s="49" t="s">
        <v>121</v>
      </c>
      <c r="D87" s="90" t="s">
        <v>122</v>
      </c>
      <c r="E87" s="46">
        <v>1004</v>
      </c>
      <c r="F87" s="50">
        <f>1.5/2.205</f>
        <v>0.68027210884353739</v>
      </c>
      <c r="G87" s="49">
        <v>25.3</v>
      </c>
      <c r="H87" s="57">
        <f>5*4.448</f>
        <v>22.240000000000002</v>
      </c>
      <c r="I87" s="51">
        <f>400/14.7*101.3246</f>
        <v>2757.1319727891159</v>
      </c>
      <c r="J87" s="51">
        <f>50/14.7*101.3246</f>
        <v>344.64149659863949</v>
      </c>
      <c r="K87" s="49">
        <v>220</v>
      </c>
      <c r="L87" s="90">
        <v>180</v>
      </c>
      <c r="M87" s="52">
        <v>9</v>
      </c>
      <c r="N87" s="52"/>
      <c r="O87" s="52"/>
      <c r="P87" s="52"/>
      <c r="Q87" s="52"/>
      <c r="R87" s="52"/>
      <c r="S87" s="53"/>
      <c r="T87" s="49">
        <v>5</v>
      </c>
      <c r="U87" s="49"/>
      <c r="V87" s="54">
        <f>103271*4.448</f>
        <v>459349.40800000005</v>
      </c>
      <c r="W87" s="54">
        <v>609</v>
      </c>
      <c r="X87" s="53">
        <f>2.6*2.54</f>
        <v>6.6040000000000001</v>
      </c>
      <c r="Y87" s="53">
        <f>7.21*2.54</f>
        <v>18.313400000000001</v>
      </c>
      <c r="Z87" s="49" t="s">
        <v>123</v>
      </c>
      <c r="AA87" s="49" t="s">
        <v>107</v>
      </c>
      <c r="AB87" s="142">
        <v>325</v>
      </c>
      <c r="AC87" s="119">
        <v>100</v>
      </c>
      <c r="AD87" s="38"/>
    </row>
    <row r="88" spans="2:30" x14ac:dyDescent="0.2">
      <c r="B88" s="48" t="s">
        <v>227</v>
      </c>
      <c r="C88" s="49" t="s">
        <v>124</v>
      </c>
      <c r="D88" s="90" t="s">
        <v>125</v>
      </c>
      <c r="E88" s="46">
        <v>1004</v>
      </c>
      <c r="F88" s="50">
        <f>1.14/2.205</f>
        <v>0.51700680272108834</v>
      </c>
      <c r="G88" s="49">
        <v>25.3</v>
      </c>
      <c r="H88" s="57">
        <f>5*4.448</f>
        <v>22.240000000000002</v>
      </c>
      <c r="I88" s="51">
        <f>350/14.7*101.3246</f>
        <v>2412.4904761904763</v>
      </c>
      <c r="J88" s="51">
        <f>100/14.7*101.3246</f>
        <v>689.28299319727898</v>
      </c>
      <c r="K88" s="49">
        <v>230</v>
      </c>
      <c r="L88" s="90">
        <v>180</v>
      </c>
      <c r="M88" s="49">
        <v>9</v>
      </c>
      <c r="N88" s="52"/>
      <c r="O88" s="52"/>
      <c r="P88" s="52"/>
      <c r="Q88" s="52"/>
      <c r="R88" s="52"/>
      <c r="S88" s="53"/>
      <c r="T88" s="49">
        <v>5</v>
      </c>
      <c r="U88" s="49"/>
      <c r="V88" s="54">
        <f>28044*4.448</f>
        <v>124739.71200000001</v>
      </c>
      <c r="W88" s="54">
        <v>12405</v>
      </c>
      <c r="X88" s="53">
        <f>1.35*2.54</f>
        <v>3.4290000000000003</v>
      </c>
      <c r="Y88" s="53">
        <f>7.15*2.54</f>
        <v>18.161000000000001</v>
      </c>
      <c r="Z88" s="49" t="s">
        <v>126</v>
      </c>
      <c r="AA88" s="49" t="s">
        <v>107</v>
      </c>
      <c r="AB88" s="142">
        <v>325</v>
      </c>
      <c r="AC88" s="119">
        <v>100</v>
      </c>
      <c r="AD88" s="38"/>
    </row>
    <row r="89" spans="2:30" x14ac:dyDescent="0.2">
      <c r="B89" s="48" t="s">
        <v>227</v>
      </c>
      <c r="C89" s="49" t="s">
        <v>127</v>
      </c>
      <c r="D89" s="90" t="s">
        <v>128</v>
      </c>
      <c r="E89" s="46">
        <v>1004</v>
      </c>
      <c r="F89" s="50">
        <f>0.9/2.205</f>
        <v>0.40816326530612246</v>
      </c>
      <c r="G89" s="49">
        <v>43</v>
      </c>
      <c r="H89" s="57">
        <f>20*4.448</f>
        <v>88.960000000000008</v>
      </c>
      <c r="I89" s="51">
        <f>355/14.7*101.3246</f>
        <v>2446.9546258503406</v>
      </c>
      <c r="J89" s="51">
        <f>105/14.7*101.3246</f>
        <v>723.74714285714288</v>
      </c>
      <c r="K89" s="49">
        <v>225</v>
      </c>
      <c r="L89" s="90">
        <v>180</v>
      </c>
      <c r="M89" s="49">
        <v>9</v>
      </c>
      <c r="N89" s="52"/>
      <c r="O89" s="52"/>
      <c r="P89" s="52"/>
      <c r="Q89" s="52"/>
      <c r="R89" s="52"/>
      <c r="S89" s="53"/>
      <c r="T89" s="52">
        <v>60</v>
      </c>
      <c r="U89" s="52"/>
      <c r="V89" s="58">
        <f>8289*4.448</f>
        <v>36869.472000000002</v>
      </c>
      <c r="W89" s="58">
        <v>1911</v>
      </c>
      <c r="X89" s="53">
        <f>1.35*2.54</f>
        <v>3.4290000000000003</v>
      </c>
      <c r="Y89" s="53">
        <f>5*2.54</f>
        <v>12.7</v>
      </c>
      <c r="Z89" s="49" t="s">
        <v>129</v>
      </c>
      <c r="AA89" s="49" t="s">
        <v>107</v>
      </c>
      <c r="AB89" s="142">
        <v>325</v>
      </c>
      <c r="AC89" s="119">
        <v>100</v>
      </c>
      <c r="AD89" s="38"/>
    </row>
    <row r="90" spans="2:30" x14ac:dyDescent="0.2">
      <c r="B90" s="48" t="s">
        <v>227</v>
      </c>
      <c r="C90" s="49" t="s">
        <v>130</v>
      </c>
      <c r="D90" s="90" t="s">
        <v>131</v>
      </c>
      <c r="E90" s="46">
        <v>1004</v>
      </c>
      <c r="F90" s="50">
        <f>2.02/2.205</f>
        <v>0.91609977324263037</v>
      </c>
      <c r="G90" s="49">
        <v>36.299999999999997</v>
      </c>
      <c r="H90" s="57">
        <f>30*4.448</f>
        <v>133.44</v>
      </c>
      <c r="I90" s="51">
        <f>475/14.7*101.3246</f>
        <v>3274.0942176870749</v>
      </c>
      <c r="J90" s="51">
        <f>150/14.7*101.3246</f>
        <v>1033.9244897959184</v>
      </c>
      <c r="K90" s="49">
        <v>225</v>
      </c>
      <c r="L90" s="90">
        <v>180</v>
      </c>
      <c r="M90" s="49">
        <v>9</v>
      </c>
      <c r="N90" s="52"/>
      <c r="O90" s="52"/>
      <c r="P90" s="52"/>
      <c r="Q90" s="52"/>
      <c r="R90" s="52"/>
      <c r="S90" s="53"/>
      <c r="T90" s="52">
        <v>60</v>
      </c>
      <c r="U90" s="52"/>
      <c r="V90" s="58">
        <f>74715*4.448</f>
        <v>332332.32</v>
      </c>
      <c r="W90" s="58">
        <v>5344</v>
      </c>
      <c r="X90" s="53">
        <f>5*2.54</f>
        <v>12.7</v>
      </c>
      <c r="Y90" s="53">
        <f>8*2.54</f>
        <v>20.32</v>
      </c>
      <c r="Z90" s="49" t="s">
        <v>132</v>
      </c>
      <c r="AA90" s="49" t="s">
        <v>107</v>
      </c>
      <c r="AB90" s="142">
        <v>325</v>
      </c>
      <c r="AC90" s="119">
        <v>100</v>
      </c>
      <c r="AD90" s="38"/>
    </row>
    <row r="91" spans="2:30" x14ac:dyDescent="0.2">
      <c r="B91" s="48" t="s">
        <v>227</v>
      </c>
      <c r="C91" s="49" t="s">
        <v>133</v>
      </c>
      <c r="D91" s="90" t="s">
        <v>134</v>
      </c>
      <c r="E91" s="46">
        <v>1004</v>
      </c>
      <c r="F91" s="50">
        <f>1.95/2.205</f>
        <v>0.88435374149659862</v>
      </c>
      <c r="G91" s="49">
        <v>50</v>
      </c>
      <c r="H91" s="57">
        <f>40*4.448</f>
        <v>177.92000000000002</v>
      </c>
      <c r="I91" s="51">
        <f>450/14.7*101.3246</f>
        <v>3101.7734693877555</v>
      </c>
      <c r="J91" s="51">
        <f>100/14.7*101.3246</f>
        <v>689.28299319727898</v>
      </c>
      <c r="K91" s="49">
        <v>220</v>
      </c>
      <c r="L91" s="90">
        <v>180</v>
      </c>
      <c r="M91" s="49">
        <v>9</v>
      </c>
      <c r="N91" s="52"/>
      <c r="O91" s="52"/>
      <c r="P91" s="52"/>
      <c r="Q91" s="52"/>
      <c r="R91" s="52"/>
      <c r="S91" s="53"/>
      <c r="T91" s="52">
        <v>60</v>
      </c>
      <c r="U91" s="52"/>
      <c r="V91" s="58">
        <f>4278*4.448</f>
        <v>19028.544000000002</v>
      </c>
      <c r="W91" s="58">
        <v>3890</v>
      </c>
      <c r="X91" s="53">
        <f>2.94*2.54</f>
        <v>7.4676</v>
      </c>
      <c r="Y91" s="53">
        <f>7.38*2.54</f>
        <v>18.745200000000001</v>
      </c>
      <c r="Z91" s="49" t="s">
        <v>135</v>
      </c>
      <c r="AA91" s="49" t="s">
        <v>107</v>
      </c>
      <c r="AB91" s="142">
        <v>325</v>
      </c>
      <c r="AC91" s="119">
        <v>100</v>
      </c>
      <c r="AD91" s="38"/>
    </row>
    <row r="92" spans="2:30" x14ac:dyDescent="0.2">
      <c r="B92" s="48" t="s">
        <v>227</v>
      </c>
      <c r="C92" s="49" t="s">
        <v>136</v>
      </c>
      <c r="D92" s="90" t="s">
        <v>137</v>
      </c>
      <c r="E92" s="46">
        <v>1004</v>
      </c>
      <c r="F92" s="50">
        <f>2/2.205</f>
        <v>0.90702947845804982</v>
      </c>
      <c r="G92" s="49">
        <v>37</v>
      </c>
      <c r="H92" s="57">
        <f>50*4.448</f>
        <v>222.40000000000003</v>
      </c>
      <c r="I92" s="51">
        <f>430/14.7*101.3246</f>
        <v>2963.9168707483</v>
      </c>
      <c r="J92" s="51">
        <f>85/14.7*101.3246</f>
        <v>585.89054421768719</v>
      </c>
      <c r="K92" s="49">
        <v>225</v>
      </c>
      <c r="L92" s="90">
        <v>180</v>
      </c>
      <c r="M92" s="49">
        <v>9</v>
      </c>
      <c r="N92" s="52"/>
      <c r="O92" s="52"/>
      <c r="P92" s="52"/>
      <c r="Q92" s="52"/>
      <c r="R92" s="52"/>
      <c r="S92" s="53"/>
      <c r="T92" s="52">
        <v>60</v>
      </c>
      <c r="U92" s="52"/>
      <c r="V92" s="58">
        <f>95853*4.448</f>
        <v>426354.14400000003</v>
      </c>
      <c r="W92" s="58">
        <v>26624</v>
      </c>
      <c r="X92" s="53">
        <f>5.5*2.54</f>
        <v>13.97</v>
      </c>
      <c r="Y92" s="53">
        <f>8*2.54</f>
        <v>20.32</v>
      </c>
      <c r="Z92" s="49" t="s">
        <v>138</v>
      </c>
      <c r="AA92" s="49" t="s">
        <v>107</v>
      </c>
      <c r="AB92" s="142">
        <v>325</v>
      </c>
      <c r="AC92" s="119">
        <v>100</v>
      </c>
      <c r="AD92" s="38"/>
    </row>
    <row r="93" spans="2:30" x14ac:dyDescent="0.2">
      <c r="B93" s="48" t="s">
        <v>227</v>
      </c>
      <c r="C93" s="49" t="s">
        <v>139</v>
      </c>
      <c r="D93" s="90" t="s">
        <v>140</v>
      </c>
      <c r="E93" s="46">
        <v>1004</v>
      </c>
      <c r="F93" s="50">
        <f>1.64/2.205</f>
        <v>0.74376417233560088</v>
      </c>
      <c r="G93" s="49">
        <v>46</v>
      </c>
      <c r="H93" s="57">
        <f>60*4.448</f>
        <v>266.88</v>
      </c>
      <c r="I93" s="51">
        <f>403/14.7*101.3246</f>
        <v>2777.8104625850342</v>
      </c>
      <c r="J93" s="51">
        <f>119/14.7*101.3246</f>
        <v>820.24676190476191</v>
      </c>
      <c r="K93" s="49">
        <v>230</v>
      </c>
      <c r="L93" s="90">
        <v>180</v>
      </c>
      <c r="M93" s="49">
        <v>9</v>
      </c>
      <c r="N93" s="52"/>
      <c r="O93" s="52"/>
      <c r="P93" s="52"/>
      <c r="Q93" s="52"/>
      <c r="R93" s="52"/>
      <c r="S93" s="53"/>
      <c r="T93" s="52">
        <v>60</v>
      </c>
      <c r="U93" s="52"/>
      <c r="V93" s="58">
        <f>15397*4.448</f>
        <v>68485.856</v>
      </c>
      <c r="W93" s="58">
        <v>1485</v>
      </c>
      <c r="X93" s="53">
        <f>2.6*2.54</f>
        <v>6.6040000000000001</v>
      </c>
      <c r="Y93" s="53">
        <f>8.4*2.54</f>
        <v>21.336000000000002</v>
      </c>
      <c r="Z93" s="49" t="s">
        <v>141</v>
      </c>
      <c r="AA93" s="49" t="s">
        <v>107</v>
      </c>
      <c r="AB93" s="142">
        <v>325</v>
      </c>
      <c r="AC93" s="119">
        <v>100</v>
      </c>
      <c r="AD93" s="38"/>
    </row>
    <row r="94" spans="2:30" x14ac:dyDescent="0.2">
      <c r="B94" s="48" t="s">
        <v>227</v>
      </c>
      <c r="C94" s="49" t="s">
        <v>142</v>
      </c>
      <c r="D94" s="90" t="s">
        <v>143</v>
      </c>
      <c r="E94" s="46">
        <v>1004</v>
      </c>
      <c r="F94" s="50">
        <f>4.11/2.205</f>
        <v>1.8639455782312926</v>
      </c>
      <c r="G94" s="49">
        <v>30</v>
      </c>
      <c r="H94" s="57">
        <f>100*4.448</f>
        <v>444.80000000000007</v>
      </c>
      <c r="I94" s="51">
        <f>420/14.7*101.3246</f>
        <v>2894.9885714285715</v>
      </c>
      <c r="J94" s="51">
        <f>100/14.7*101.3246</f>
        <v>689.28299319727898</v>
      </c>
      <c r="K94" s="49">
        <v>230</v>
      </c>
      <c r="L94" s="90">
        <v>180</v>
      </c>
      <c r="M94" s="49">
        <v>9</v>
      </c>
      <c r="N94" s="52"/>
      <c r="O94" s="52"/>
      <c r="P94" s="52"/>
      <c r="Q94" s="52"/>
      <c r="R94" s="52"/>
      <c r="S94" s="53"/>
      <c r="T94" s="52">
        <v>60</v>
      </c>
      <c r="U94" s="52"/>
      <c r="V94" s="58">
        <f>156000*4.448</f>
        <v>693888.00000000012</v>
      </c>
      <c r="W94" s="58">
        <v>1742</v>
      </c>
      <c r="X94" s="53">
        <f>6*2.54</f>
        <v>15.24</v>
      </c>
      <c r="Y94" s="53">
        <f>18.1*2.54</f>
        <v>45.974000000000004</v>
      </c>
      <c r="Z94" s="49" t="s">
        <v>144</v>
      </c>
      <c r="AA94" s="49" t="s">
        <v>107</v>
      </c>
      <c r="AB94" s="142">
        <v>325</v>
      </c>
      <c r="AC94" s="119">
        <v>100</v>
      </c>
      <c r="AD94" s="38"/>
    </row>
    <row r="95" spans="2:30" x14ac:dyDescent="0.2">
      <c r="B95" s="48" t="s">
        <v>227</v>
      </c>
      <c r="C95" s="49" t="s">
        <v>145</v>
      </c>
      <c r="D95" s="90" t="s">
        <v>146</v>
      </c>
      <c r="E95" s="46">
        <v>1004</v>
      </c>
      <c r="F95" s="49">
        <v>0.33</v>
      </c>
      <c r="G95" s="49">
        <v>9</v>
      </c>
      <c r="H95" s="52">
        <v>1</v>
      </c>
      <c r="I95" s="51">
        <f>400/14.7*101.3246</f>
        <v>2757.1319727891159</v>
      </c>
      <c r="J95" s="51">
        <f>100/14.7*101.3246</f>
        <v>689.28299319727898</v>
      </c>
      <c r="K95" s="49">
        <v>232</v>
      </c>
      <c r="L95" s="90">
        <v>180</v>
      </c>
      <c r="M95" s="52">
        <v>9</v>
      </c>
      <c r="N95" s="52"/>
      <c r="O95" s="52"/>
      <c r="P95" s="52"/>
      <c r="Q95" s="52"/>
      <c r="R95" s="52"/>
      <c r="S95" s="53"/>
      <c r="T95" s="49">
        <v>5</v>
      </c>
      <c r="U95" s="49"/>
      <c r="V95" s="54">
        <v>111250</v>
      </c>
      <c r="W95" s="54">
        <v>100000</v>
      </c>
      <c r="X95" s="53">
        <v>2.5</v>
      </c>
      <c r="Y95" s="53">
        <v>13.3</v>
      </c>
      <c r="Z95" s="49" t="s">
        <v>147</v>
      </c>
      <c r="AA95" s="49" t="s">
        <v>148</v>
      </c>
      <c r="AB95" s="142">
        <v>325</v>
      </c>
      <c r="AC95" s="119">
        <v>100</v>
      </c>
      <c r="AD95" s="38"/>
    </row>
    <row r="96" spans="2:30" x14ac:dyDescent="0.2">
      <c r="B96" s="48" t="s">
        <v>227</v>
      </c>
      <c r="C96" s="49" t="s">
        <v>149</v>
      </c>
      <c r="D96" s="90" t="s">
        <v>150</v>
      </c>
      <c r="E96" s="46">
        <v>1004</v>
      </c>
      <c r="F96" s="49">
        <v>0.37</v>
      </c>
      <c r="G96" s="49">
        <v>9</v>
      </c>
      <c r="H96" s="52">
        <v>5</v>
      </c>
      <c r="I96" s="51">
        <f>430/14.7*101.3246</f>
        <v>2963.9168707483</v>
      </c>
      <c r="J96" s="51">
        <f>75/14.7*101.3246</f>
        <v>516.96224489795918</v>
      </c>
      <c r="K96" s="49">
        <v>230</v>
      </c>
      <c r="L96" s="90">
        <v>180</v>
      </c>
      <c r="M96" s="52">
        <v>9</v>
      </c>
      <c r="N96" s="52"/>
      <c r="O96" s="52"/>
      <c r="P96" s="52"/>
      <c r="Q96" s="52"/>
      <c r="R96" s="52"/>
      <c r="S96" s="53"/>
      <c r="T96" s="49">
        <v>5</v>
      </c>
      <c r="U96" s="49"/>
      <c r="V96" s="54">
        <v>311500</v>
      </c>
      <c r="W96" s="54">
        <v>1000000</v>
      </c>
      <c r="X96" s="53">
        <v>2.5</v>
      </c>
      <c r="Y96" s="53">
        <v>20.3</v>
      </c>
      <c r="Z96" s="49" t="s">
        <v>147</v>
      </c>
      <c r="AA96" s="49" t="s">
        <v>148</v>
      </c>
      <c r="AB96" s="142">
        <v>325</v>
      </c>
      <c r="AC96" s="119">
        <v>100</v>
      </c>
      <c r="AD96" s="38"/>
    </row>
    <row r="97" spans="2:30" x14ac:dyDescent="0.2">
      <c r="B97" s="48" t="s">
        <v>227</v>
      </c>
      <c r="C97" s="49" t="s">
        <v>151</v>
      </c>
      <c r="D97" s="90" t="s">
        <v>152</v>
      </c>
      <c r="E97" s="46">
        <v>1004</v>
      </c>
      <c r="F97" s="49">
        <v>0.24</v>
      </c>
      <c r="G97" s="49">
        <v>9</v>
      </c>
      <c r="H97" s="52">
        <v>22</v>
      </c>
      <c r="I97" s="51">
        <f>400/14.7*101.3246</f>
        <v>2757.1319727891159</v>
      </c>
      <c r="J97" s="51">
        <f>50/14.7*101.3246</f>
        <v>344.64149659863949</v>
      </c>
      <c r="K97" s="49">
        <v>235</v>
      </c>
      <c r="L97" s="90">
        <v>180</v>
      </c>
      <c r="M97" s="52">
        <v>9</v>
      </c>
      <c r="N97" s="52"/>
      <c r="O97" s="52"/>
      <c r="P97" s="52"/>
      <c r="Q97" s="52"/>
      <c r="R97" s="52"/>
      <c r="S97" s="53"/>
      <c r="T97" s="49">
        <v>5</v>
      </c>
      <c r="U97" s="49"/>
      <c r="V97" s="54">
        <v>501000</v>
      </c>
      <c r="W97" s="54">
        <v>60000</v>
      </c>
      <c r="X97" s="53">
        <v>3.8</v>
      </c>
      <c r="Y97" s="53">
        <v>20.3</v>
      </c>
      <c r="Z97" s="49" t="s">
        <v>147</v>
      </c>
      <c r="AA97" s="49" t="s">
        <v>148</v>
      </c>
      <c r="AB97" s="142">
        <v>325</v>
      </c>
      <c r="AC97" s="119">
        <v>100</v>
      </c>
      <c r="AD97" s="38"/>
    </row>
    <row r="98" spans="2:30" x14ac:dyDescent="0.2">
      <c r="B98" s="48" t="s">
        <v>227</v>
      </c>
      <c r="C98" s="49" t="s">
        <v>153</v>
      </c>
      <c r="D98" s="90" t="s">
        <v>154</v>
      </c>
      <c r="E98" s="46">
        <v>1004</v>
      </c>
      <c r="F98" s="49">
        <v>1</v>
      </c>
      <c r="G98" s="49">
        <v>30</v>
      </c>
      <c r="H98" s="52">
        <v>90</v>
      </c>
      <c r="I98" s="51">
        <f>450/14.7*101.3246</f>
        <v>3101.7734693877555</v>
      </c>
      <c r="J98" s="51">
        <f>75/14.7*101.3246</f>
        <v>516.96224489795918</v>
      </c>
      <c r="K98" s="49">
        <v>235</v>
      </c>
      <c r="L98" s="90">
        <v>180</v>
      </c>
      <c r="M98" s="52">
        <v>9</v>
      </c>
      <c r="N98" s="52"/>
      <c r="O98" s="52"/>
      <c r="P98" s="52"/>
      <c r="Q98" s="52"/>
      <c r="R98" s="52"/>
      <c r="S98" s="53"/>
      <c r="T98" s="49">
        <v>60</v>
      </c>
      <c r="U98" s="49"/>
      <c r="V98" s="54">
        <v>3500000</v>
      </c>
      <c r="W98" s="54"/>
      <c r="X98" s="53">
        <v>8.4</v>
      </c>
      <c r="Y98" s="53">
        <v>30.4</v>
      </c>
      <c r="Z98" s="49" t="s">
        <v>155</v>
      </c>
      <c r="AA98" s="49" t="s">
        <v>148</v>
      </c>
      <c r="AB98" s="142">
        <v>325</v>
      </c>
      <c r="AC98" s="119">
        <v>100</v>
      </c>
      <c r="AD98" s="38"/>
    </row>
    <row r="99" spans="2:30" x14ac:dyDescent="0.2">
      <c r="B99" s="48" t="s">
        <v>227</v>
      </c>
      <c r="C99" s="49" t="s">
        <v>156</v>
      </c>
      <c r="D99" s="90" t="s">
        <v>157</v>
      </c>
      <c r="E99" s="46">
        <v>1004</v>
      </c>
      <c r="F99" s="49">
        <v>1.6</v>
      </c>
      <c r="G99" s="49">
        <v>30</v>
      </c>
      <c r="H99" s="52">
        <v>445</v>
      </c>
      <c r="I99" s="51">
        <f>450/14.7*101.3246</f>
        <v>3101.7734693877555</v>
      </c>
      <c r="J99" s="51">
        <f>75/14.7*101.3246</f>
        <v>516.96224489795918</v>
      </c>
      <c r="K99" s="49">
        <v>235</v>
      </c>
      <c r="L99" s="90">
        <v>180</v>
      </c>
      <c r="M99" s="52">
        <v>9</v>
      </c>
      <c r="N99" s="52"/>
      <c r="O99" s="52"/>
      <c r="P99" s="52"/>
      <c r="Q99" s="52"/>
      <c r="R99" s="52"/>
      <c r="S99" s="53"/>
      <c r="T99" s="49">
        <v>60</v>
      </c>
      <c r="U99" s="49"/>
      <c r="V99" s="54">
        <v>5600000</v>
      </c>
      <c r="W99" s="54"/>
      <c r="X99" s="53">
        <v>14.8</v>
      </c>
      <c r="Y99" s="53">
        <v>41</v>
      </c>
      <c r="Z99" s="49" t="s">
        <v>158</v>
      </c>
      <c r="AA99" s="49" t="s">
        <v>148</v>
      </c>
      <c r="AB99" s="142">
        <v>325</v>
      </c>
      <c r="AC99" s="119">
        <v>100</v>
      </c>
      <c r="AD99" s="38"/>
    </row>
    <row r="100" spans="2:30" x14ac:dyDescent="0.2">
      <c r="B100" s="48" t="s">
        <v>227</v>
      </c>
      <c r="C100" s="49" t="s">
        <v>159</v>
      </c>
      <c r="D100" s="90" t="s">
        <v>160</v>
      </c>
      <c r="E100" s="46">
        <v>1004</v>
      </c>
      <c r="F100" s="50">
        <f>1.1/2.205</f>
        <v>0.49886621315192747</v>
      </c>
      <c r="G100" s="49">
        <v>15</v>
      </c>
      <c r="H100" s="52">
        <v>0.8</v>
      </c>
      <c r="I100" s="51">
        <f>350/14.7*101.3246</f>
        <v>2412.4904761904763</v>
      </c>
      <c r="J100" s="51">
        <f>100/14.7*101.3246</f>
        <v>689.28299319727898</v>
      </c>
      <c r="K100" s="49">
        <v>216</v>
      </c>
      <c r="L100" s="90">
        <v>180</v>
      </c>
      <c r="M100" s="52">
        <v>9</v>
      </c>
      <c r="N100" s="52"/>
      <c r="O100" s="52"/>
      <c r="P100" s="52"/>
      <c r="Q100" s="52"/>
      <c r="R100" s="52"/>
      <c r="S100" s="53"/>
      <c r="T100" s="49">
        <v>60</v>
      </c>
      <c r="U100" s="49"/>
      <c r="V100" s="54"/>
      <c r="W100" s="54"/>
      <c r="X100" s="53">
        <v>11.4</v>
      </c>
      <c r="Y100" s="53">
        <v>17.5</v>
      </c>
      <c r="Z100" s="49"/>
      <c r="AA100" s="49" t="s">
        <v>161</v>
      </c>
      <c r="AB100" s="142">
        <v>325</v>
      </c>
      <c r="AC100" s="119">
        <v>100</v>
      </c>
      <c r="AD100" s="38"/>
    </row>
    <row r="101" spans="2:30" x14ac:dyDescent="0.2">
      <c r="B101" s="48" t="s">
        <v>227</v>
      </c>
      <c r="C101" s="49" t="s">
        <v>162</v>
      </c>
      <c r="D101" s="90" t="s">
        <v>163</v>
      </c>
      <c r="E101" s="46">
        <v>1004</v>
      </c>
      <c r="F101" s="50">
        <f>1.2/2.205</f>
        <v>0.54421768707482987</v>
      </c>
      <c r="G101" s="49">
        <v>15</v>
      </c>
      <c r="H101" s="52">
        <v>3.4</v>
      </c>
      <c r="I101" s="51">
        <f>565/14.7*101.3246</f>
        <v>3894.4489115646261</v>
      </c>
      <c r="J101" s="51">
        <f>80/14.7*101.3246</f>
        <v>551.42639455782319</v>
      </c>
      <c r="K101" s="49">
        <v>218</v>
      </c>
      <c r="L101" s="90">
        <v>180</v>
      </c>
      <c r="M101" s="52">
        <v>9</v>
      </c>
      <c r="N101" s="52"/>
      <c r="O101" s="52"/>
      <c r="P101" s="52"/>
      <c r="Q101" s="52"/>
      <c r="R101" s="52"/>
      <c r="S101" s="53"/>
      <c r="T101" s="49">
        <v>60</v>
      </c>
      <c r="U101" s="49"/>
      <c r="V101" s="54">
        <f>115000*4.448</f>
        <v>511520.00000000006</v>
      </c>
      <c r="W101" s="54">
        <v>450000</v>
      </c>
      <c r="X101" s="53">
        <v>14.5</v>
      </c>
      <c r="Y101" s="53">
        <v>18.8</v>
      </c>
      <c r="Z101" s="49" t="s">
        <v>164</v>
      </c>
      <c r="AA101" s="49" t="s">
        <v>165</v>
      </c>
      <c r="AB101" s="142">
        <v>325</v>
      </c>
      <c r="AC101" s="119">
        <v>100</v>
      </c>
      <c r="AD101" s="38"/>
    </row>
    <row r="102" spans="2:30" x14ac:dyDescent="0.2">
      <c r="B102" s="48" t="s">
        <v>227</v>
      </c>
      <c r="C102" s="49" t="s">
        <v>166</v>
      </c>
      <c r="D102" s="90" t="s">
        <v>167</v>
      </c>
      <c r="E102" s="46">
        <v>1004</v>
      </c>
      <c r="F102" s="50">
        <f>1.1/2.205</f>
        <v>0.49886621315192747</v>
      </c>
      <c r="G102" s="49">
        <v>30</v>
      </c>
      <c r="H102" s="52">
        <v>9.8000000000000007</v>
      </c>
      <c r="I102" s="51">
        <f>600/14.7*101.3246</f>
        <v>4135.6979591836734</v>
      </c>
      <c r="J102" s="51">
        <f>100/14.7*101.3246</f>
        <v>689.28299319727898</v>
      </c>
      <c r="K102" s="49">
        <v>217</v>
      </c>
      <c r="L102" s="90">
        <v>180</v>
      </c>
      <c r="M102" s="52">
        <v>9</v>
      </c>
      <c r="N102" s="52"/>
      <c r="O102" s="52"/>
      <c r="P102" s="52"/>
      <c r="Q102" s="52"/>
      <c r="R102" s="52"/>
      <c r="S102" s="53"/>
      <c r="T102" s="49">
        <v>60</v>
      </c>
      <c r="U102" s="49"/>
      <c r="V102" s="54"/>
      <c r="W102" s="54"/>
      <c r="X102" s="53">
        <v>6.1</v>
      </c>
      <c r="Y102" s="53">
        <v>20.6</v>
      </c>
      <c r="Z102" s="49"/>
      <c r="AA102" s="49" t="s">
        <v>161</v>
      </c>
      <c r="AB102" s="142">
        <v>325</v>
      </c>
      <c r="AC102" s="119">
        <v>100</v>
      </c>
      <c r="AD102" s="38"/>
    </row>
    <row r="103" spans="2:30" x14ac:dyDescent="0.2">
      <c r="B103" s="48" t="s">
        <v>227</v>
      </c>
      <c r="C103" s="49" t="s">
        <v>168</v>
      </c>
      <c r="D103" s="90" t="s">
        <v>169</v>
      </c>
      <c r="E103" s="46">
        <v>1004</v>
      </c>
      <c r="F103" s="50">
        <f>3.2/2/2.205</f>
        <v>0.7256235827664399</v>
      </c>
      <c r="G103" s="49">
        <v>30</v>
      </c>
      <c r="H103" s="52">
        <v>28</v>
      </c>
      <c r="I103" s="51">
        <f>400/14.7*101.3246</f>
        <v>2757.1319727891159</v>
      </c>
      <c r="J103" s="51">
        <f>50/14.7*101.3246</f>
        <v>344.64149659863949</v>
      </c>
      <c r="K103" s="49">
        <v>232</v>
      </c>
      <c r="L103" s="90">
        <v>180</v>
      </c>
      <c r="M103" s="52">
        <v>9</v>
      </c>
      <c r="N103" s="52"/>
      <c r="O103" s="52"/>
      <c r="P103" s="52"/>
      <c r="Q103" s="52"/>
      <c r="R103" s="52"/>
      <c r="S103" s="53"/>
      <c r="T103" s="49">
        <v>60</v>
      </c>
      <c r="U103" s="49"/>
      <c r="V103" s="54"/>
      <c r="W103" s="54"/>
      <c r="X103" s="53">
        <v>14.5</v>
      </c>
      <c r="Y103" s="53">
        <v>26.4</v>
      </c>
      <c r="Z103" s="49"/>
      <c r="AA103" s="49" t="s">
        <v>161</v>
      </c>
      <c r="AB103" s="142">
        <v>325</v>
      </c>
      <c r="AC103" s="119">
        <v>100</v>
      </c>
      <c r="AD103" s="38"/>
    </row>
    <row r="104" spans="2:30" x14ac:dyDescent="0.2">
      <c r="B104" s="48" t="s">
        <v>227</v>
      </c>
      <c r="C104" s="49" t="s">
        <v>170</v>
      </c>
      <c r="D104" s="90" t="s">
        <v>171</v>
      </c>
      <c r="E104" s="46">
        <v>1004</v>
      </c>
      <c r="F104" s="50">
        <f>1.1/2.205</f>
        <v>0.49886621315192747</v>
      </c>
      <c r="G104" s="49">
        <v>72</v>
      </c>
      <c r="H104" s="52">
        <v>66</v>
      </c>
      <c r="I104" s="51">
        <f>400/14.7*101.3246</f>
        <v>2757.1319727891159</v>
      </c>
      <c r="J104" s="51">
        <f>200/14.7*101.3246</f>
        <v>1378.565986394558</v>
      </c>
      <c r="K104" s="49">
        <v>228</v>
      </c>
      <c r="L104" s="90">
        <v>180</v>
      </c>
      <c r="M104" s="52">
        <v>9</v>
      </c>
      <c r="N104" s="52"/>
      <c r="O104" s="52"/>
      <c r="P104" s="52"/>
      <c r="Q104" s="52"/>
      <c r="R104" s="52"/>
      <c r="S104" s="53"/>
      <c r="T104" s="49">
        <v>60</v>
      </c>
      <c r="U104" s="49"/>
      <c r="V104" s="54"/>
      <c r="W104" s="54"/>
      <c r="X104" s="53">
        <v>11.9</v>
      </c>
      <c r="Y104" s="53">
        <v>31.8</v>
      </c>
      <c r="Z104" s="49"/>
      <c r="AA104" s="49" t="s">
        <v>161</v>
      </c>
      <c r="AB104" s="142">
        <v>325</v>
      </c>
      <c r="AC104" s="119">
        <v>100</v>
      </c>
      <c r="AD104" s="38"/>
    </row>
    <row r="105" spans="2:30" x14ac:dyDescent="0.2">
      <c r="B105" s="55" t="s">
        <v>228</v>
      </c>
      <c r="C105" s="49" t="s">
        <v>172</v>
      </c>
      <c r="D105" s="90" t="s">
        <v>173</v>
      </c>
      <c r="E105" s="49">
        <f>(1450+1004)/2</f>
        <v>1227</v>
      </c>
      <c r="F105" s="50">
        <v>4.0999999999999996</v>
      </c>
      <c r="G105" s="49">
        <v>38</v>
      </c>
      <c r="H105" s="51">
        <f>145*4.448</f>
        <v>644.96</v>
      </c>
      <c r="I105" s="56">
        <v>1960</v>
      </c>
      <c r="J105" s="56">
        <v>1430</v>
      </c>
      <c r="K105" s="49">
        <v>318</v>
      </c>
      <c r="L105" s="99">
        <v>250</v>
      </c>
      <c r="M105" s="52">
        <v>9</v>
      </c>
      <c r="N105" s="52"/>
      <c r="O105" s="52"/>
      <c r="P105" s="52"/>
      <c r="Q105" s="52"/>
      <c r="R105" s="52"/>
      <c r="S105" s="57"/>
      <c r="T105" s="52">
        <v>60</v>
      </c>
      <c r="U105" s="52"/>
      <c r="V105" s="58">
        <v>12900000</v>
      </c>
      <c r="W105" s="58"/>
      <c r="X105" s="57">
        <v>28.9</v>
      </c>
      <c r="Y105" s="57">
        <v>64.7</v>
      </c>
      <c r="Z105" s="52" t="s">
        <v>158</v>
      </c>
      <c r="AA105" s="52" t="s">
        <v>174</v>
      </c>
      <c r="AB105" s="71">
        <v>400</v>
      </c>
      <c r="AC105" s="77">
        <v>140</v>
      </c>
      <c r="AD105" s="38"/>
    </row>
    <row r="106" spans="2:30" x14ac:dyDescent="0.2">
      <c r="B106" s="55" t="s">
        <v>228</v>
      </c>
      <c r="C106" s="49" t="s">
        <v>175</v>
      </c>
      <c r="D106" s="90" t="s">
        <v>176</v>
      </c>
      <c r="E106" s="49">
        <f>(1450+1004)/2</f>
        <v>1227</v>
      </c>
      <c r="F106" s="50">
        <v>4</v>
      </c>
      <c r="G106" s="52">
        <v>38</v>
      </c>
      <c r="H106" s="51">
        <v>458</v>
      </c>
      <c r="I106" s="56">
        <v>2070</v>
      </c>
      <c r="J106" s="56">
        <v>1320</v>
      </c>
      <c r="K106" s="52">
        <v>325</v>
      </c>
      <c r="L106" s="99">
        <v>250</v>
      </c>
      <c r="M106" s="52">
        <v>9</v>
      </c>
      <c r="N106" s="52"/>
      <c r="O106" s="52"/>
      <c r="P106" s="52"/>
      <c r="Q106" s="52"/>
      <c r="R106" s="52"/>
      <c r="S106" s="57"/>
      <c r="T106" s="52">
        <v>60</v>
      </c>
      <c r="U106" s="52"/>
      <c r="V106" s="58">
        <v>12500000</v>
      </c>
      <c r="W106" s="58"/>
      <c r="X106" s="57">
        <v>28.9</v>
      </c>
      <c r="Y106" s="57">
        <v>63.5</v>
      </c>
      <c r="Z106" s="52" t="s">
        <v>158</v>
      </c>
      <c r="AA106" s="52" t="s">
        <v>177</v>
      </c>
      <c r="AB106" s="71">
        <v>400</v>
      </c>
      <c r="AC106" s="77">
        <v>140</v>
      </c>
      <c r="AD106" s="38"/>
    </row>
    <row r="107" spans="2:30" x14ac:dyDescent="0.2">
      <c r="B107" s="55" t="s">
        <v>228</v>
      </c>
      <c r="C107" s="49" t="s">
        <v>178</v>
      </c>
      <c r="D107" s="90" t="s">
        <v>179</v>
      </c>
      <c r="E107" s="49">
        <f>(1450+1004)/2</f>
        <v>1227</v>
      </c>
      <c r="F107" s="50">
        <v>4.5</v>
      </c>
      <c r="G107" s="52">
        <v>38</v>
      </c>
      <c r="H107" s="51">
        <v>458</v>
      </c>
      <c r="I107" s="56">
        <v>2070</v>
      </c>
      <c r="J107" s="56">
        <v>1320</v>
      </c>
      <c r="K107" s="52">
        <v>330</v>
      </c>
      <c r="L107" s="99">
        <v>250</v>
      </c>
      <c r="M107" s="52">
        <v>5</v>
      </c>
      <c r="N107" s="52"/>
      <c r="O107" s="52"/>
      <c r="P107" s="52"/>
      <c r="Q107" s="52"/>
      <c r="R107" s="52"/>
      <c r="S107" s="57"/>
      <c r="T107" s="52">
        <v>60</v>
      </c>
      <c r="U107" s="52"/>
      <c r="V107" s="58"/>
      <c r="W107" s="58"/>
      <c r="X107" s="57"/>
      <c r="Y107" s="57"/>
      <c r="Z107" s="52" t="s">
        <v>180</v>
      </c>
      <c r="AA107" s="52" t="s">
        <v>177</v>
      </c>
      <c r="AB107" s="71">
        <v>400</v>
      </c>
      <c r="AC107" s="77">
        <v>140</v>
      </c>
      <c r="AD107" s="38"/>
    </row>
    <row r="108" spans="2:30" x14ac:dyDescent="0.2">
      <c r="B108" s="55" t="s">
        <v>228</v>
      </c>
      <c r="C108" s="49" t="s">
        <v>181</v>
      </c>
      <c r="D108" s="90" t="s">
        <v>182</v>
      </c>
      <c r="E108" s="49">
        <f>(1450+1004)/2</f>
        <v>1227</v>
      </c>
      <c r="F108" s="50">
        <v>5.2</v>
      </c>
      <c r="G108" s="52">
        <v>46</v>
      </c>
      <c r="H108" s="51">
        <v>445</v>
      </c>
      <c r="I108" s="56">
        <f>400/14.7*101.3246</f>
        <v>2757.1319727891159</v>
      </c>
      <c r="J108" s="56">
        <f>100/14.7*101.3246</f>
        <v>689.28299319727898</v>
      </c>
      <c r="K108" s="52">
        <v>328</v>
      </c>
      <c r="L108" s="99">
        <v>250</v>
      </c>
      <c r="M108" s="52">
        <v>8</v>
      </c>
      <c r="N108" s="52"/>
      <c r="O108" s="52"/>
      <c r="P108" s="52"/>
      <c r="Q108" s="52"/>
      <c r="R108" s="52"/>
      <c r="S108" s="57"/>
      <c r="T108" s="52">
        <v>60</v>
      </c>
      <c r="U108" s="52"/>
      <c r="V108" s="58">
        <v>12450000</v>
      </c>
      <c r="W108" s="58">
        <v>500</v>
      </c>
      <c r="X108" s="57">
        <f>14.25*2.54</f>
        <v>36.195</v>
      </c>
      <c r="Y108" s="57">
        <f>(2.47+26.1)*2.54</f>
        <v>72.567800000000005</v>
      </c>
      <c r="Z108" s="52" t="s">
        <v>79</v>
      </c>
      <c r="AA108" s="52" t="s">
        <v>183</v>
      </c>
      <c r="AB108" s="71">
        <v>400</v>
      </c>
      <c r="AC108" s="77">
        <v>140</v>
      </c>
      <c r="AD108" s="38"/>
    </row>
    <row r="109" spans="2:30" x14ac:dyDescent="0.2">
      <c r="B109" s="55" t="s">
        <v>228</v>
      </c>
      <c r="C109" s="49" t="s">
        <v>184</v>
      </c>
      <c r="D109" s="90" t="s">
        <v>185</v>
      </c>
      <c r="E109" s="49">
        <f>(1450+1004)/2</f>
        <v>1227</v>
      </c>
      <c r="F109" s="50">
        <f>10.5/2.205</f>
        <v>4.7619047619047619</v>
      </c>
      <c r="G109" s="49">
        <v>38</v>
      </c>
      <c r="H109" s="51">
        <f>106.5*4.448</f>
        <v>473.71200000000005</v>
      </c>
      <c r="I109" s="56">
        <f>270/14.7*101.3246</f>
        <v>1861.0640816326534</v>
      </c>
      <c r="J109" s="56">
        <f>180/14.7*101.3246</f>
        <v>1240.7093877551022</v>
      </c>
      <c r="K109" s="49">
        <v>322</v>
      </c>
      <c r="L109" s="99">
        <v>250</v>
      </c>
      <c r="M109" s="52">
        <v>9</v>
      </c>
      <c r="N109" s="52"/>
      <c r="O109" s="52"/>
      <c r="P109" s="52"/>
      <c r="Q109" s="52"/>
      <c r="R109" s="52"/>
      <c r="S109" s="57"/>
      <c r="T109" s="52">
        <v>60</v>
      </c>
      <c r="U109" s="52"/>
      <c r="V109" s="58">
        <f>2580000*4.448</f>
        <v>11475840.000000002</v>
      </c>
      <c r="W109" s="58">
        <v>100</v>
      </c>
      <c r="X109" s="57">
        <f>11.8*2.54</f>
        <v>29.972000000000001</v>
      </c>
      <c r="Y109" s="57">
        <f>27.8*2.54</f>
        <v>70.612000000000009</v>
      </c>
      <c r="Z109" s="52" t="s">
        <v>186</v>
      </c>
      <c r="AA109" s="52" t="s">
        <v>187</v>
      </c>
      <c r="AB109" s="71">
        <v>400</v>
      </c>
      <c r="AC109" s="77">
        <v>140</v>
      </c>
      <c r="AD109" s="38"/>
    </row>
    <row r="110" spans="2:30" x14ac:dyDescent="0.2">
      <c r="B110" s="55" t="s">
        <v>265</v>
      </c>
      <c r="C110" s="49" t="s">
        <v>266</v>
      </c>
      <c r="D110" s="90" t="s">
        <v>239</v>
      </c>
      <c r="E110" s="49">
        <v>1450</v>
      </c>
      <c r="F110" s="50">
        <v>107.95</v>
      </c>
      <c r="G110" s="49"/>
      <c r="H110" s="51">
        <v>35600</v>
      </c>
      <c r="I110" s="56"/>
      <c r="J110" s="56"/>
      <c r="K110" s="49"/>
      <c r="L110" s="99"/>
      <c r="M110" s="52"/>
      <c r="N110" s="52"/>
      <c r="O110" s="52"/>
      <c r="P110" s="52"/>
      <c r="Q110" s="52"/>
      <c r="R110" s="60">
        <f>1000/3600</f>
        <v>0.27777777777777779</v>
      </c>
      <c r="S110" s="57"/>
      <c r="T110" s="52"/>
      <c r="U110" s="52"/>
      <c r="V110" s="58"/>
      <c r="W110" s="58"/>
      <c r="X110" s="57"/>
      <c r="Y110" s="57"/>
      <c r="Z110" s="52" t="s">
        <v>260</v>
      </c>
      <c r="AA110" s="49" t="s">
        <v>259</v>
      </c>
      <c r="AB110" s="71">
        <v>400</v>
      </c>
      <c r="AC110" s="77">
        <v>140</v>
      </c>
      <c r="AD110" s="38"/>
    </row>
    <row r="111" spans="2:30" x14ac:dyDescent="0.2">
      <c r="B111" s="55" t="s">
        <v>267</v>
      </c>
      <c r="C111" s="49" t="s">
        <v>268</v>
      </c>
      <c r="D111" s="90" t="s">
        <v>272</v>
      </c>
      <c r="E111" s="49">
        <v>280</v>
      </c>
      <c r="F111" s="50">
        <v>138.35</v>
      </c>
      <c r="G111" s="49"/>
      <c r="H111" s="51">
        <v>73400</v>
      </c>
      <c r="I111" s="56"/>
      <c r="J111" s="56"/>
      <c r="K111" s="49"/>
      <c r="L111" s="99"/>
      <c r="M111" s="52"/>
      <c r="N111" s="52"/>
      <c r="O111" s="52"/>
      <c r="P111" s="52"/>
      <c r="Q111" s="52"/>
      <c r="R111" s="60">
        <f>400/3600</f>
        <v>0.1111111111111111</v>
      </c>
      <c r="S111" s="57"/>
      <c r="T111" s="52"/>
      <c r="U111" s="52"/>
      <c r="V111" s="58"/>
      <c r="W111" s="58"/>
      <c r="X111" s="57"/>
      <c r="Y111" s="57"/>
      <c r="Z111" s="52" t="s">
        <v>271</v>
      </c>
      <c r="AA111" s="49" t="s">
        <v>259</v>
      </c>
      <c r="AB111" s="71">
        <v>400</v>
      </c>
      <c r="AC111" s="77">
        <v>140</v>
      </c>
      <c r="AD111" s="38"/>
    </row>
    <row r="112" spans="2:30" x14ac:dyDescent="0.2">
      <c r="B112" s="55" t="s">
        <v>228</v>
      </c>
      <c r="C112" s="49" t="s">
        <v>269</v>
      </c>
      <c r="D112" s="90" t="s">
        <v>273</v>
      </c>
      <c r="E112" s="49">
        <f>(1450+1004)/2</f>
        <v>1227</v>
      </c>
      <c r="F112" s="50">
        <v>4.5</v>
      </c>
      <c r="G112" s="49"/>
      <c r="H112" s="51">
        <v>445</v>
      </c>
      <c r="I112" s="56"/>
      <c r="J112" s="56"/>
      <c r="K112" s="49"/>
      <c r="L112" s="99"/>
      <c r="M112" s="52"/>
      <c r="N112" s="52"/>
      <c r="O112" s="52"/>
      <c r="P112" s="52"/>
      <c r="Q112" s="52"/>
      <c r="R112" s="60">
        <f>28000/3600</f>
        <v>7.7777777777777777</v>
      </c>
      <c r="S112" s="57"/>
      <c r="T112" s="52"/>
      <c r="U112" s="52"/>
      <c r="V112" s="58"/>
      <c r="W112" s="58"/>
      <c r="X112" s="57"/>
      <c r="Y112" s="57"/>
      <c r="Z112" s="52" t="s">
        <v>497</v>
      </c>
      <c r="AA112" s="49" t="s">
        <v>259</v>
      </c>
      <c r="AB112" s="71">
        <v>400</v>
      </c>
      <c r="AC112" s="77">
        <v>140</v>
      </c>
      <c r="AD112" s="38"/>
    </row>
    <row r="113" spans="2:30" x14ac:dyDescent="0.2">
      <c r="B113" s="55" t="s">
        <v>228</v>
      </c>
      <c r="C113" s="49" t="s">
        <v>270</v>
      </c>
      <c r="D113" s="90" t="s">
        <v>274</v>
      </c>
      <c r="E113" s="49">
        <f>(1450+1004)/2</f>
        <v>1227</v>
      </c>
      <c r="F113" s="50">
        <v>4.5</v>
      </c>
      <c r="G113" s="49"/>
      <c r="H113" s="51">
        <v>4250</v>
      </c>
      <c r="I113" s="56"/>
      <c r="J113" s="56"/>
      <c r="K113" s="49"/>
      <c r="L113" s="99"/>
      <c r="M113" s="52"/>
      <c r="N113" s="52"/>
      <c r="O113" s="52"/>
      <c r="P113" s="52"/>
      <c r="Q113" s="52"/>
      <c r="R113" s="60">
        <f>25000/3600</f>
        <v>6.9444444444444446</v>
      </c>
      <c r="S113" s="57"/>
      <c r="T113" s="52"/>
      <c r="U113" s="52"/>
      <c r="V113" s="58"/>
      <c r="W113" s="58"/>
      <c r="X113" s="57"/>
      <c r="Y113" s="57"/>
      <c r="Z113" s="52" t="s">
        <v>158</v>
      </c>
      <c r="AA113" s="49" t="s">
        <v>259</v>
      </c>
      <c r="AB113" s="71">
        <v>400</v>
      </c>
      <c r="AC113" s="77">
        <v>140</v>
      </c>
      <c r="AD113" s="38"/>
    </row>
    <row r="114" spans="2:30" x14ac:dyDescent="0.2">
      <c r="B114" s="55" t="s">
        <v>229</v>
      </c>
      <c r="C114" s="49" t="s">
        <v>188</v>
      </c>
      <c r="D114" s="90" t="s">
        <v>189</v>
      </c>
      <c r="E114" s="49">
        <f>(886+1450)/2</f>
        <v>1168</v>
      </c>
      <c r="F114" s="50">
        <v>0.4</v>
      </c>
      <c r="G114" s="49">
        <v>14</v>
      </c>
      <c r="H114" s="52">
        <v>10</v>
      </c>
      <c r="I114" s="51">
        <f>300/14.7*101.3246</f>
        <v>2067.8489795918367</v>
      </c>
      <c r="J114" s="51">
        <f>100/14.7*101.3246</f>
        <v>689.28299319727898</v>
      </c>
      <c r="K114" s="49">
        <v>290</v>
      </c>
      <c r="L114" s="90">
        <v>220</v>
      </c>
      <c r="M114" s="52">
        <v>9</v>
      </c>
      <c r="N114" s="52"/>
      <c r="O114" s="52"/>
      <c r="P114" s="52"/>
      <c r="Q114" s="52"/>
      <c r="R114" s="52"/>
      <c r="S114" s="49"/>
      <c r="T114" s="52">
        <v>5</v>
      </c>
      <c r="U114" s="52"/>
      <c r="V114" s="54">
        <v>667000</v>
      </c>
      <c r="W114" s="54"/>
      <c r="X114" s="49">
        <v>5</v>
      </c>
      <c r="Y114" s="49">
        <v>16.5</v>
      </c>
      <c r="Z114" s="49" t="s">
        <v>190</v>
      </c>
      <c r="AA114" s="52" t="s">
        <v>76</v>
      </c>
      <c r="AB114" s="71">
        <v>400</v>
      </c>
      <c r="AC114" s="77">
        <v>140</v>
      </c>
      <c r="AD114" s="38"/>
    </row>
    <row r="115" spans="2:30" x14ac:dyDescent="0.2">
      <c r="B115" s="55" t="s">
        <v>229</v>
      </c>
      <c r="C115" s="49" t="s">
        <v>191</v>
      </c>
      <c r="D115" s="90" t="s">
        <v>192</v>
      </c>
      <c r="E115" s="49">
        <f t="shared" ref="E115:E137" si="1">(886+1450)/2</f>
        <v>1168</v>
      </c>
      <c r="F115" s="50">
        <v>0.45</v>
      </c>
      <c r="G115" s="49">
        <v>14</v>
      </c>
      <c r="H115" s="52">
        <v>22</v>
      </c>
      <c r="I115" s="51">
        <f>400/14.7*101.3246</f>
        <v>2757.1319727891159</v>
      </c>
      <c r="J115" s="51">
        <f>100/14.7*101.3246</f>
        <v>689.28299319727898</v>
      </c>
      <c r="K115" s="49">
        <v>294</v>
      </c>
      <c r="L115" s="90">
        <v>220</v>
      </c>
      <c r="M115" s="52">
        <v>9</v>
      </c>
      <c r="N115" s="52"/>
      <c r="O115" s="52"/>
      <c r="P115" s="52"/>
      <c r="Q115" s="52"/>
      <c r="R115" s="52"/>
      <c r="S115" s="49"/>
      <c r="T115" s="49">
        <v>5</v>
      </c>
      <c r="U115" s="49"/>
      <c r="V115" s="54">
        <v>1335000</v>
      </c>
      <c r="W115" s="54">
        <v>300000</v>
      </c>
      <c r="X115" s="49">
        <v>5</v>
      </c>
      <c r="Y115" s="49">
        <v>21.6</v>
      </c>
      <c r="Z115" s="49" t="s">
        <v>193</v>
      </c>
      <c r="AA115" s="52" t="s">
        <v>76</v>
      </c>
      <c r="AB115" s="71">
        <v>400</v>
      </c>
      <c r="AC115" s="77">
        <v>140</v>
      </c>
      <c r="AD115" s="38"/>
    </row>
    <row r="116" spans="2:30" x14ac:dyDescent="0.2">
      <c r="B116" s="55" t="s">
        <v>229</v>
      </c>
      <c r="C116" s="49" t="s">
        <v>191</v>
      </c>
      <c r="D116" s="90" t="s">
        <v>194</v>
      </c>
      <c r="E116" s="49">
        <f t="shared" si="1"/>
        <v>1168</v>
      </c>
      <c r="F116" s="50">
        <v>0.67</v>
      </c>
      <c r="G116" s="49">
        <v>14</v>
      </c>
      <c r="H116" s="52">
        <v>22</v>
      </c>
      <c r="I116" s="51">
        <f>400/14.7*101.3246</f>
        <v>2757.1319727891159</v>
      </c>
      <c r="J116" s="51">
        <f>140/14.7*101.3246</f>
        <v>964.99619047619046</v>
      </c>
      <c r="K116" s="49">
        <v>289</v>
      </c>
      <c r="L116" s="90">
        <v>220</v>
      </c>
      <c r="M116" s="52">
        <v>6</v>
      </c>
      <c r="N116" s="52"/>
      <c r="O116" s="52"/>
      <c r="P116" s="52"/>
      <c r="Q116" s="52"/>
      <c r="R116" s="52"/>
      <c r="S116" s="52"/>
      <c r="T116" s="49">
        <v>5</v>
      </c>
      <c r="U116" s="49"/>
      <c r="V116" s="54"/>
      <c r="W116" s="54"/>
      <c r="X116" s="52"/>
      <c r="Y116" s="52"/>
      <c r="Z116" s="49" t="s">
        <v>195</v>
      </c>
      <c r="AA116" s="52" t="s">
        <v>196</v>
      </c>
      <c r="AB116" s="71">
        <v>400</v>
      </c>
      <c r="AC116" s="77">
        <v>140</v>
      </c>
      <c r="AD116" s="38"/>
    </row>
    <row r="117" spans="2:30" x14ac:dyDescent="0.2">
      <c r="B117" s="55" t="s">
        <v>229</v>
      </c>
      <c r="C117" s="49" t="s">
        <v>197</v>
      </c>
      <c r="D117" s="90" t="s">
        <v>198</v>
      </c>
      <c r="E117" s="49">
        <f t="shared" si="1"/>
        <v>1168</v>
      </c>
      <c r="F117" s="53">
        <v>2</v>
      </c>
      <c r="G117" s="49">
        <v>36</v>
      </c>
      <c r="H117" s="52">
        <v>110</v>
      </c>
      <c r="I117" s="51">
        <f>400/14.7*101.3246</f>
        <v>2757.1319727891159</v>
      </c>
      <c r="J117" s="51">
        <f>100/14.7*101.3246</f>
        <v>689.28299319727898</v>
      </c>
      <c r="K117" s="49">
        <v>280</v>
      </c>
      <c r="L117" s="90">
        <v>220</v>
      </c>
      <c r="M117" s="52">
        <v>9</v>
      </c>
      <c r="N117" s="52"/>
      <c r="O117" s="52"/>
      <c r="P117" s="52">
        <v>0.9</v>
      </c>
      <c r="Q117" s="52">
        <v>0.5</v>
      </c>
      <c r="R117" s="52"/>
      <c r="S117" s="49"/>
      <c r="T117" s="49">
        <v>60</v>
      </c>
      <c r="U117" s="49"/>
      <c r="V117" s="54">
        <v>11000000</v>
      </c>
      <c r="W117" s="54">
        <v>30000</v>
      </c>
      <c r="X117" s="49">
        <v>11</v>
      </c>
      <c r="Y117" s="49">
        <v>35</v>
      </c>
      <c r="Z117" s="49" t="s">
        <v>158</v>
      </c>
      <c r="AA117" s="52" t="s">
        <v>76</v>
      </c>
      <c r="AB117" s="71">
        <v>400</v>
      </c>
      <c r="AC117" s="77">
        <v>140</v>
      </c>
      <c r="AD117" s="38"/>
    </row>
    <row r="118" spans="2:30" x14ac:dyDescent="0.2">
      <c r="B118" s="55" t="s">
        <v>229</v>
      </c>
      <c r="C118" s="49" t="s">
        <v>199</v>
      </c>
      <c r="D118" s="90" t="s">
        <v>200</v>
      </c>
      <c r="E118" s="49">
        <f t="shared" si="1"/>
        <v>1168</v>
      </c>
      <c r="F118" s="49">
        <v>3.7</v>
      </c>
      <c r="G118" s="49">
        <v>80</v>
      </c>
      <c r="H118" s="49">
        <v>490</v>
      </c>
      <c r="I118" s="51">
        <f>425/14.7*101.3246</f>
        <v>2929.4527210884357</v>
      </c>
      <c r="J118" s="51">
        <f>100/14.7*101.3246</f>
        <v>689.28299319727898</v>
      </c>
      <c r="K118" s="49">
        <v>315</v>
      </c>
      <c r="L118" s="90">
        <v>250</v>
      </c>
      <c r="M118" s="52">
        <v>9</v>
      </c>
      <c r="N118" s="52"/>
      <c r="O118" s="52"/>
      <c r="P118" s="52"/>
      <c r="Q118" s="52"/>
      <c r="R118" s="52"/>
      <c r="S118" s="52"/>
      <c r="T118" s="52">
        <v>60</v>
      </c>
      <c r="U118" s="52"/>
      <c r="V118" s="58">
        <v>20000000</v>
      </c>
      <c r="W118" s="54">
        <v>21000</v>
      </c>
      <c r="X118" s="52">
        <v>38</v>
      </c>
      <c r="Y118" s="52">
        <v>70</v>
      </c>
      <c r="Z118" s="49" t="s">
        <v>201</v>
      </c>
      <c r="AA118" s="52" t="s">
        <v>76</v>
      </c>
      <c r="AB118" s="71">
        <v>400</v>
      </c>
      <c r="AC118" s="77">
        <v>140</v>
      </c>
      <c r="AD118" s="38"/>
    </row>
    <row r="119" spans="2:30" x14ac:dyDescent="0.2">
      <c r="B119" s="55" t="s">
        <v>229</v>
      </c>
      <c r="C119" s="49" t="s">
        <v>202</v>
      </c>
      <c r="D119" s="90" t="s">
        <v>182</v>
      </c>
      <c r="E119" s="49">
        <f t="shared" si="1"/>
        <v>1168</v>
      </c>
      <c r="F119" s="53">
        <v>5.2</v>
      </c>
      <c r="G119" s="49">
        <v>46</v>
      </c>
      <c r="H119" s="49">
        <v>445</v>
      </c>
      <c r="I119" s="51">
        <f>400/14.7*101.3246</f>
        <v>2757.1319727891159</v>
      </c>
      <c r="J119" s="51">
        <f>100/14.7*101.3246</f>
        <v>689.28299319727898</v>
      </c>
      <c r="K119" s="49">
        <v>323.60000000000002</v>
      </c>
      <c r="L119" s="90">
        <v>250</v>
      </c>
      <c r="M119" s="52">
        <v>9</v>
      </c>
      <c r="N119" s="52"/>
      <c r="O119" s="52"/>
      <c r="P119" s="52"/>
      <c r="Q119" s="52"/>
      <c r="R119" s="52"/>
      <c r="S119" s="57"/>
      <c r="T119" s="52">
        <v>60</v>
      </c>
      <c r="U119" s="52"/>
      <c r="V119" s="58">
        <v>20616500</v>
      </c>
      <c r="W119" s="58">
        <v>500</v>
      </c>
      <c r="X119" s="57">
        <f>14.25*2.54</f>
        <v>36.195</v>
      </c>
      <c r="Y119" s="57">
        <f>(2.47+26.1)*2.54</f>
        <v>72.567800000000005</v>
      </c>
      <c r="Z119" s="52" t="s">
        <v>203</v>
      </c>
      <c r="AA119" s="52" t="s">
        <v>76</v>
      </c>
      <c r="AB119" s="71">
        <v>400</v>
      </c>
      <c r="AC119" s="77">
        <v>140</v>
      </c>
      <c r="AD119" s="38"/>
    </row>
    <row r="120" spans="2:30" x14ac:dyDescent="0.2">
      <c r="B120" s="55" t="s">
        <v>229</v>
      </c>
      <c r="C120" s="49" t="s">
        <v>204</v>
      </c>
      <c r="D120" s="90" t="s">
        <v>205</v>
      </c>
      <c r="E120" s="49">
        <f t="shared" si="1"/>
        <v>1168</v>
      </c>
      <c r="F120" s="49">
        <v>4.53</v>
      </c>
      <c r="G120" s="49">
        <v>46</v>
      </c>
      <c r="H120" s="49">
        <v>890</v>
      </c>
      <c r="I120" s="51">
        <f>425/14.7*101.3246</f>
        <v>2929.4527210884357</v>
      </c>
      <c r="J120" s="51">
        <f>100/14.7*101.3246</f>
        <v>689.28299319727898</v>
      </c>
      <c r="K120" s="49">
        <v>303</v>
      </c>
      <c r="L120" s="90">
        <v>250</v>
      </c>
      <c r="M120" s="52">
        <v>9</v>
      </c>
      <c r="N120" s="52"/>
      <c r="O120" s="52"/>
      <c r="P120" s="52"/>
      <c r="Q120" s="52"/>
      <c r="R120" s="52"/>
      <c r="S120" s="57"/>
      <c r="T120" s="52">
        <v>60</v>
      </c>
      <c r="U120" s="52"/>
      <c r="V120" s="58">
        <v>24271000</v>
      </c>
      <c r="W120" s="54">
        <v>134</v>
      </c>
      <c r="X120" s="57">
        <f>15.34*2.54</f>
        <v>38.9636</v>
      </c>
      <c r="Y120" s="57">
        <f>(6+25)*2.54</f>
        <v>78.739999999999995</v>
      </c>
      <c r="Z120" s="49" t="s">
        <v>158</v>
      </c>
      <c r="AA120" s="52" t="s">
        <v>76</v>
      </c>
      <c r="AB120" s="71">
        <v>400</v>
      </c>
      <c r="AC120" s="77">
        <v>140</v>
      </c>
      <c r="AD120" s="38"/>
    </row>
    <row r="121" spans="2:30" x14ac:dyDescent="0.2">
      <c r="B121" s="55" t="s">
        <v>229</v>
      </c>
      <c r="C121" s="49" t="s">
        <v>206</v>
      </c>
      <c r="D121" s="90" t="s">
        <v>207</v>
      </c>
      <c r="E121" s="49">
        <f t="shared" si="1"/>
        <v>1168</v>
      </c>
      <c r="F121" s="49">
        <v>6.8</v>
      </c>
      <c r="G121" s="49">
        <v>70</v>
      </c>
      <c r="H121" s="49">
        <v>4000</v>
      </c>
      <c r="I121" s="51">
        <f>400/14.7*101.3246</f>
        <v>2757.1319727891159</v>
      </c>
      <c r="J121" s="51">
        <f>150/14.7*101.3246</f>
        <v>1033.9244897959184</v>
      </c>
      <c r="K121" s="49">
        <v>293</v>
      </c>
      <c r="L121" s="90">
        <v>250</v>
      </c>
      <c r="M121" s="52">
        <v>9</v>
      </c>
      <c r="N121" s="52"/>
      <c r="O121" s="52"/>
      <c r="P121" s="52"/>
      <c r="Q121" s="52"/>
      <c r="R121" s="52"/>
      <c r="S121" s="57"/>
      <c r="T121" s="52">
        <v>60</v>
      </c>
      <c r="U121" s="52"/>
      <c r="V121" s="58">
        <v>92073600</v>
      </c>
      <c r="W121" s="54">
        <v>50000</v>
      </c>
      <c r="X121" s="57">
        <f>15.8*2.54</f>
        <v>40.132000000000005</v>
      </c>
      <c r="Y121" s="57">
        <f>(5.7+22.3)*2.54</f>
        <v>71.12</v>
      </c>
      <c r="Z121" s="49" t="s">
        <v>208</v>
      </c>
      <c r="AA121" s="52" t="s">
        <v>76</v>
      </c>
      <c r="AB121" s="71">
        <v>400</v>
      </c>
      <c r="AC121" s="77">
        <v>140</v>
      </c>
      <c r="AD121" s="38"/>
    </row>
    <row r="122" spans="2:30" x14ac:dyDescent="0.2">
      <c r="B122" s="55" t="s">
        <v>229</v>
      </c>
      <c r="C122" s="49" t="s">
        <v>209</v>
      </c>
      <c r="D122" s="90" t="s">
        <v>210</v>
      </c>
      <c r="E122" s="49">
        <f t="shared" si="1"/>
        <v>1168</v>
      </c>
      <c r="F122" s="53">
        <v>4.5</v>
      </c>
      <c r="G122" s="49">
        <v>80</v>
      </c>
      <c r="H122" s="49">
        <v>408</v>
      </c>
      <c r="I122" s="51">
        <v>1800</v>
      </c>
      <c r="J122" s="51">
        <v>1340</v>
      </c>
      <c r="K122" s="49">
        <v>319</v>
      </c>
      <c r="L122" s="90">
        <v>200</v>
      </c>
      <c r="M122" s="52">
        <v>8</v>
      </c>
      <c r="N122" s="52"/>
      <c r="O122" s="52"/>
      <c r="P122" s="52"/>
      <c r="Q122" s="52"/>
      <c r="R122" s="52"/>
      <c r="S122" s="52"/>
      <c r="T122" s="52">
        <v>60</v>
      </c>
      <c r="U122" s="52"/>
      <c r="V122" s="58">
        <v>9600000</v>
      </c>
      <c r="W122" s="58"/>
      <c r="X122" s="52"/>
      <c r="Y122" s="52">
        <v>77.7</v>
      </c>
      <c r="Z122" s="49" t="s">
        <v>211</v>
      </c>
      <c r="AA122" s="52" t="s">
        <v>212</v>
      </c>
      <c r="AB122" s="71">
        <v>400</v>
      </c>
      <c r="AC122" s="77">
        <v>140</v>
      </c>
      <c r="AD122" s="38"/>
    </row>
    <row r="123" spans="2:30" x14ac:dyDescent="0.2">
      <c r="B123" s="55" t="s">
        <v>229</v>
      </c>
      <c r="C123" s="49" t="s">
        <v>213</v>
      </c>
      <c r="D123" s="90" t="s">
        <v>214</v>
      </c>
      <c r="E123" s="49">
        <f t="shared" si="1"/>
        <v>1168</v>
      </c>
      <c r="F123" s="53">
        <v>0.8</v>
      </c>
      <c r="G123" s="49">
        <v>14</v>
      </c>
      <c r="H123" s="49">
        <v>22</v>
      </c>
      <c r="I123" s="51">
        <f>275/14.7*101.3246</f>
        <v>1895.5282312925174</v>
      </c>
      <c r="J123" s="51">
        <f>100/14.7*101.3246</f>
        <v>689.28299319727898</v>
      </c>
      <c r="K123" s="49">
        <v>295</v>
      </c>
      <c r="L123" s="90">
        <v>200</v>
      </c>
      <c r="M123" s="52">
        <v>9</v>
      </c>
      <c r="N123" s="52"/>
      <c r="O123" s="52"/>
      <c r="P123" s="52"/>
      <c r="Q123" s="52"/>
      <c r="R123" s="52"/>
      <c r="S123" s="52"/>
      <c r="T123" s="52">
        <v>5</v>
      </c>
      <c r="U123" s="52"/>
      <c r="V123" s="58"/>
      <c r="W123" s="58">
        <v>379000</v>
      </c>
      <c r="X123" s="52"/>
      <c r="Y123" s="52"/>
      <c r="Z123" s="49" t="s">
        <v>215</v>
      </c>
      <c r="AA123" s="52" t="s">
        <v>216</v>
      </c>
      <c r="AB123" s="71">
        <v>400</v>
      </c>
      <c r="AC123" s="77">
        <v>140</v>
      </c>
      <c r="AD123" s="38"/>
    </row>
    <row r="124" spans="2:30" x14ac:dyDescent="0.2">
      <c r="B124" s="55" t="s">
        <v>229</v>
      </c>
      <c r="C124" s="49" t="s">
        <v>217</v>
      </c>
      <c r="D124" s="90" t="s">
        <v>218</v>
      </c>
      <c r="E124" s="49">
        <f t="shared" si="1"/>
        <v>1168</v>
      </c>
      <c r="F124" s="49">
        <v>0.44</v>
      </c>
      <c r="G124" s="49">
        <v>14</v>
      </c>
      <c r="H124" s="49">
        <v>22</v>
      </c>
      <c r="I124" s="51">
        <v>2750</v>
      </c>
      <c r="J124" s="51">
        <v>960</v>
      </c>
      <c r="K124" s="49">
        <v>303</v>
      </c>
      <c r="L124" s="90">
        <v>250</v>
      </c>
      <c r="M124" s="52">
        <v>6</v>
      </c>
      <c r="N124" s="52"/>
      <c r="O124" s="52"/>
      <c r="P124" s="52"/>
      <c r="Q124" s="52"/>
      <c r="R124" s="52"/>
      <c r="S124" s="52"/>
      <c r="T124" s="52">
        <v>5</v>
      </c>
      <c r="U124" s="52"/>
      <c r="V124" s="58">
        <v>2600000</v>
      </c>
      <c r="W124" s="58"/>
      <c r="X124" s="52"/>
      <c r="Y124" s="52">
        <v>5.2</v>
      </c>
      <c r="Z124" s="49" t="s">
        <v>498</v>
      </c>
      <c r="AA124" s="52" t="s">
        <v>219</v>
      </c>
      <c r="AB124" s="71">
        <v>400</v>
      </c>
      <c r="AC124" s="77">
        <v>140</v>
      </c>
      <c r="AD124" s="38"/>
    </row>
    <row r="125" spans="2:30" x14ac:dyDescent="0.2">
      <c r="B125" s="55" t="s">
        <v>229</v>
      </c>
      <c r="C125" s="49" t="s">
        <v>220</v>
      </c>
      <c r="D125" s="90" t="s">
        <v>221</v>
      </c>
      <c r="E125" s="49">
        <f t="shared" si="1"/>
        <v>1168</v>
      </c>
      <c r="F125" s="53">
        <v>0.68</v>
      </c>
      <c r="G125" s="49">
        <v>14</v>
      </c>
      <c r="H125" s="49">
        <v>11</v>
      </c>
      <c r="I125" s="51">
        <v>2400</v>
      </c>
      <c r="J125" s="51">
        <v>1000</v>
      </c>
      <c r="K125" s="49">
        <v>290</v>
      </c>
      <c r="L125" s="90">
        <v>200</v>
      </c>
      <c r="M125" s="52">
        <v>7</v>
      </c>
      <c r="N125" s="52"/>
      <c r="O125" s="52"/>
      <c r="P125" s="52"/>
      <c r="Q125" s="52"/>
      <c r="R125" s="52"/>
      <c r="S125" s="52"/>
      <c r="T125" s="52">
        <v>5</v>
      </c>
      <c r="U125" s="52"/>
      <c r="V125" s="58">
        <v>2300000</v>
      </c>
      <c r="W125" s="58"/>
      <c r="X125" s="52"/>
      <c r="Y125" s="52">
        <v>22.3</v>
      </c>
      <c r="Z125" s="49" t="s">
        <v>222</v>
      </c>
      <c r="AA125" s="52" t="s">
        <v>223</v>
      </c>
      <c r="AB125" s="71">
        <v>400</v>
      </c>
      <c r="AC125" s="77">
        <v>140</v>
      </c>
      <c r="AD125" s="38"/>
    </row>
    <row r="126" spans="2:30" x14ac:dyDescent="0.2">
      <c r="B126" s="55" t="s">
        <v>229</v>
      </c>
      <c r="C126" s="49" t="s">
        <v>224</v>
      </c>
      <c r="D126" s="90" t="s">
        <v>225</v>
      </c>
      <c r="E126" s="49">
        <f t="shared" si="1"/>
        <v>1168</v>
      </c>
      <c r="F126" s="53">
        <v>0.6</v>
      </c>
      <c r="G126" s="49">
        <v>14</v>
      </c>
      <c r="H126" s="52">
        <v>9</v>
      </c>
      <c r="I126" s="51">
        <v>2000</v>
      </c>
      <c r="J126" s="51">
        <v>800</v>
      </c>
      <c r="K126" s="49">
        <v>274</v>
      </c>
      <c r="L126" s="90">
        <v>220</v>
      </c>
      <c r="M126" s="52">
        <v>9</v>
      </c>
      <c r="N126" s="52"/>
      <c r="O126" s="52"/>
      <c r="P126" s="52"/>
      <c r="Q126" s="52"/>
      <c r="R126" s="52"/>
      <c r="S126" s="52"/>
      <c r="T126" s="49">
        <v>5</v>
      </c>
      <c r="U126" s="49"/>
      <c r="V126" s="54">
        <v>1480000</v>
      </c>
      <c r="W126" s="54"/>
      <c r="X126" s="52"/>
      <c r="Y126" s="52"/>
      <c r="Z126" s="49" t="s">
        <v>226</v>
      </c>
      <c r="AA126" s="52" t="s">
        <v>223</v>
      </c>
      <c r="AB126" s="71">
        <v>400</v>
      </c>
      <c r="AC126" s="77">
        <v>140</v>
      </c>
      <c r="AD126" s="38"/>
    </row>
    <row r="127" spans="2:30" x14ac:dyDescent="0.2">
      <c r="B127" s="55" t="s">
        <v>229</v>
      </c>
      <c r="C127" s="49" t="s">
        <v>236</v>
      </c>
      <c r="D127" s="90" t="s">
        <v>237</v>
      </c>
      <c r="E127" s="49">
        <f t="shared" si="1"/>
        <v>1168</v>
      </c>
      <c r="F127" s="50">
        <v>51.26</v>
      </c>
      <c r="G127" s="49"/>
      <c r="H127" s="47">
        <v>16700</v>
      </c>
      <c r="I127" s="51"/>
      <c r="J127" s="51"/>
      <c r="K127" s="49">
        <v>340</v>
      </c>
      <c r="L127" s="90"/>
      <c r="M127" s="52"/>
      <c r="N127" s="52"/>
      <c r="O127" s="52"/>
      <c r="P127" s="52"/>
      <c r="Q127" s="52"/>
      <c r="R127" s="61">
        <v>1.3879999999999999</v>
      </c>
      <c r="S127" s="53"/>
      <c r="T127" s="49"/>
      <c r="U127" s="49"/>
      <c r="V127" s="54"/>
      <c r="W127" s="54"/>
      <c r="X127" s="53"/>
      <c r="Y127" s="53"/>
      <c r="Z127" s="49" t="s">
        <v>258</v>
      </c>
      <c r="AA127" s="49" t="s">
        <v>259</v>
      </c>
      <c r="AB127" s="71">
        <v>400</v>
      </c>
      <c r="AC127" s="77">
        <v>140</v>
      </c>
      <c r="AD127" s="38"/>
    </row>
    <row r="128" spans="2:30" x14ac:dyDescent="0.2">
      <c r="B128" s="55" t="s">
        <v>229</v>
      </c>
      <c r="C128" s="49" t="s">
        <v>241</v>
      </c>
      <c r="D128" s="90" t="s">
        <v>238</v>
      </c>
      <c r="E128" s="49">
        <f t="shared" si="1"/>
        <v>1168</v>
      </c>
      <c r="F128" s="50">
        <v>57.15</v>
      </c>
      <c r="G128" s="49"/>
      <c r="H128" s="47">
        <v>16700</v>
      </c>
      <c r="I128" s="51"/>
      <c r="J128" s="51"/>
      <c r="K128" s="49">
        <v>334</v>
      </c>
      <c r="L128" s="90"/>
      <c r="M128" s="52"/>
      <c r="N128" s="52"/>
      <c r="O128" s="52"/>
      <c r="P128" s="52"/>
      <c r="Q128" s="52"/>
      <c r="R128" s="61">
        <v>1.5</v>
      </c>
      <c r="S128" s="53"/>
      <c r="T128" s="49"/>
      <c r="U128" s="49"/>
      <c r="V128" s="54"/>
      <c r="W128" s="54"/>
      <c r="X128" s="53"/>
      <c r="Y128" s="53"/>
      <c r="Z128" s="49" t="s">
        <v>258</v>
      </c>
      <c r="AA128" s="49" t="s">
        <v>259</v>
      </c>
      <c r="AB128" s="71">
        <v>400</v>
      </c>
      <c r="AC128" s="77">
        <v>140</v>
      </c>
      <c r="AD128" s="38"/>
    </row>
    <row r="129" spans="2:30" x14ac:dyDescent="0.2">
      <c r="B129" s="55" t="s">
        <v>229</v>
      </c>
      <c r="C129" s="49" t="s">
        <v>242</v>
      </c>
      <c r="D129" s="90" t="s">
        <v>240</v>
      </c>
      <c r="E129" s="49">
        <f t="shared" si="1"/>
        <v>1168</v>
      </c>
      <c r="F129" s="50">
        <v>99.79</v>
      </c>
      <c r="G129" s="49"/>
      <c r="H129" s="47">
        <v>43600</v>
      </c>
      <c r="I129" s="51"/>
      <c r="J129" s="51"/>
      <c r="K129" s="49">
        <v>320</v>
      </c>
      <c r="L129" s="90"/>
      <c r="M129" s="52"/>
      <c r="N129" s="52"/>
      <c r="O129" s="52"/>
      <c r="P129" s="52"/>
      <c r="Q129" s="52"/>
      <c r="R129" s="61">
        <v>0.33333333333333331</v>
      </c>
      <c r="S129" s="53"/>
      <c r="T129" s="49"/>
      <c r="U129" s="49"/>
      <c r="V129" s="54"/>
      <c r="W129" s="54"/>
      <c r="X129" s="53"/>
      <c r="Y129" s="53"/>
      <c r="Z129" s="49" t="s">
        <v>260</v>
      </c>
      <c r="AA129" s="49" t="s">
        <v>259</v>
      </c>
      <c r="AB129" s="71">
        <v>400</v>
      </c>
      <c r="AC129" s="77">
        <v>140</v>
      </c>
      <c r="AD129" s="38"/>
    </row>
    <row r="130" spans="2:30" x14ac:dyDescent="0.2">
      <c r="B130" s="55" t="s">
        <v>229</v>
      </c>
      <c r="C130" s="49" t="s">
        <v>244</v>
      </c>
      <c r="D130" s="90" t="s">
        <v>200</v>
      </c>
      <c r="E130" s="49">
        <f t="shared" si="1"/>
        <v>1168</v>
      </c>
      <c r="F130" s="50">
        <v>7.26</v>
      </c>
      <c r="G130" s="49"/>
      <c r="H130" s="47">
        <v>4000</v>
      </c>
      <c r="I130" s="51"/>
      <c r="J130" s="51"/>
      <c r="K130" s="49">
        <v>309</v>
      </c>
      <c r="L130" s="90"/>
      <c r="M130" s="52"/>
      <c r="N130" s="52"/>
      <c r="O130" s="52"/>
      <c r="P130" s="52"/>
      <c r="Q130" s="52"/>
      <c r="R130" s="61">
        <v>0.69444444444444442</v>
      </c>
      <c r="S130" s="53"/>
      <c r="T130" s="49"/>
      <c r="U130" s="49"/>
      <c r="V130" s="54"/>
      <c r="W130" s="54"/>
      <c r="X130" s="53"/>
      <c r="Y130" s="53"/>
      <c r="Z130" s="49" t="s">
        <v>79</v>
      </c>
      <c r="AA130" s="49" t="s">
        <v>259</v>
      </c>
      <c r="AB130" s="71">
        <v>400</v>
      </c>
      <c r="AC130" s="77">
        <v>140</v>
      </c>
      <c r="AD130" s="38"/>
    </row>
    <row r="131" spans="2:30" x14ac:dyDescent="0.2">
      <c r="B131" s="55" t="s">
        <v>229</v>
      </c>
      <c r="C131" s="49" t="s">
        <v>245</v>
      </c>
      <c r="D131" s="90" t="s">
        <v>243</v>
      </c>
      <c r="E131" s="49">
        <f t="shared" si="1"/>
        <v>1168</v>
      </c>
      <c r="F131" s="50">
        <v>90.72</v>
      </c>
      <c r="G131" s="49"/>
      <c r="H131" s="47">
        <v>26700</v>
      </c>
      <c r="I131" s="51"/>
      <c r="J131" s="51"/>
      <c r="K131" s="49">
        <v>340</v>
      </c>
      <c r="L131" s="90"/>
      <c r="M131" s="52"/>
      <c r="N131" s="52"/>
      <c r="O131" s="52"/>
      <c r="P131" s="52"/>
      <c r="Q131" s="52"/>
      <c r="R131" s="61">
        <v>0.33333333333333331</v>
      </c>
      <c r="S131" s="53"/>
      <c r="T131" s="49"/>
      <c r="U131" s="49"/>
      <c r="V131" s="54"/>
      <c r="W131" s="54"/>
      <c r="X131" s="53"/>
      <c r="Y131" s="53"/>
      <c r="Z131" s="49" t="s">
        <v>261</v>
      </c>
      <c r="AA131" s="49" t="s">
        <v>259</v>
      </c>
      <c r="AB131" s="71">
        <v>400</v>
      </c>
      <c r="AC131" s="77">
        <v>140</v>
      </c>
      <c r="AD131" s="38"/>
    </row>
    <row r="132" spans="2:30" x14ac:dyDescent="0.2">
      <c r="B132" s="55" t="s">
        <v>229</v>
      </c>
      <c r="C132" s="49" t="s">
        <v>246</v>
      </c>
      <c r="D132" s="90" t="s">
        <v>251</v>
      </c>
      <c r="E132" s="49">
        <f t="shared" si="1"/>
        <v>1168</v>
      </c>
      <c r="F132" s="50">
        <v>3.76</v>
      </c>
      <c r="G132" s="49"/>
      <c r="H132" s="47">
        <v>489</v>
      </c>
      <c r="I132" s="51"/>
      <c r="J132" s="51"/>
      <c r="K132" s="49">
        <v>310</v>
      </c>
      <c r="L132" s="90"/>
      <c r="M132" s="52"/>
      <c r="N132" s="52"/>
      <c r="O132" s="52"/>
      <c r="P132" s="52"/>
      <c r="Q132" s="52"/>
      <c r="R132" s="61">
        <v>5.5555555555555554</v>
      </c>
      <c r="S132" s="53"/>
      <c r="T132" s="49"/>
      <c r="U132" s="49"/>
      <c r="V132" s="54"/>
      <c r="W132" s="54"/>
      <c r="X132" s="53"/>
      <c r="Y132" s="53"/>
      <c r="Z132" s="49" t="s">
        <v>260</v>
      </c>
      <c r="AA132" s="49" t="s">
        <v>259</v>
      </c>
      <c r="AB132" s="71">
        <v>400</v>
      </c>
      <c r="AC132" s="77">
        <v>140</v>
      </c>
      <c r="AD132" s="38"/>
    </row>
    <row r="133" spans="2:30" x14ac:dyDescent="0.2">
      <c r="B133" s="55" t="s">
        <v>229</v>
      </c>
      <c r="C133" s="49" t="s">
        <v>247</v>
      </c>
      <c r="D133" s="90" t="s">
        <v>252</v>
      </c>
      <c r="E133" s="49">
        <f t="shared" si="1"/>
        <v>1168</v>
      </c>
      <c r="F133" s="50">
        <v>5.22</v>
      </c>
      <c r="G133" s="49"/>
      <c r="H133" s="47">
        <v>445</v>
      </c>
      <c r="I133" s="51"/>
      <c r="J133" s="51"/>
      <c r="K133" s="49">
        <v>302</v>
      </c>
      <c r="L133" s="90"/>
      <c r="M133" s="52"/>
      <c r="N133" s="52"/>
      <c r="O133" s="52"/>
      <c r="P133" s="52"/>
      <c r="Q133" s="52"/>
      <c r="R133" s="61">
        <v>5.5555500000000002</v>
      </c>
      <c r="S133" s="53"/>
      <c r="T133" s="49"/>
      <c r="U133" s="49"/>
      <c r="V133" s="54"/>
      <c r="W133" s="54"/>
      <c r="X133" s="53"/>
      <c r="Y133" s="53"/>
      <c r="Z133" s="49" t="s">
        <v>158</v>
      </c>
      <c r="AA133" s="49" t="s">
        <v>259</v>
      </c>
      <c r="AB133" s="71">
        <v>400</v>
      </c>
      <c r="AC133" s="77">
        <v>140</v>
      </c>
      <c r="AD133" s="38"/>
    </row>
    <row r="134" spans="2:30" x14ac:dyDescent="0.2">
      <c r="B134" s="55" t="s">
        <v>229</v>
      </c>
      <c r="C134" s="59" t="s">
        <v>248</v>
      </c>
      <c r="D134" s="90" t="s">
        <v>253</v>
      </c>
      <c r="E134" s="49">
        <f t="shared" si="1"/>
        <v>1168</v>
      </c>
      <c r="F134" s="50">
        <v>113.4</v>
      </c>
      <c r="G134" s="49"/>
      <c r="H134" s="47">
        <v>11100</v>
      </c>
      <c r="I134" s="51"/>
      <c r="J134" s="51"/>
      <c r="K134" s="49">
        <v>312</v>
      </c>
      <c r="L134" s="90"/>
      <c r="M134" s="52"/>
      <c r="N134" s="52"/>
      <c r="O134" s="52"/>
      <c r="P134" s="52"/>
      <c r="Q134" s="52"/>
      <c r="R134" s="61">
        <v>0.55555555555555558</v>
      </c>
      <c r="S134" s="53"/>
      <c r="T134" s="49"/>
      <c r="U134" s="49"/>
      <c r="V134" s="54"/>
      <c r="W134" s="54"/>
      <c r="X134" s="53"/>
      <c r="Y134" s="53"/>
      <c r="Z134" s="49" t="s">
        <v>262</v>
      </c>
      <c r="AA134" s="49" t="s">
        <v>259</v>
      </c>
      <c r="AB134" s="71">
        <v>400</v>
      </c>
      <c r="AC134" s="77">
        <v>140</v>
      </c>
      <c r="AD134" s="38"/>
    </row>
    <row r="135" spans="2:30" x14ac:dyDescent="0.2">
      <c r="B135" s="55" t="s">
        <v>229</v>
      </c>
      <c r="C135" s="59" t="s">
        <v>249</v>
      </c>
      <c r="D135" s="90" t="s">
        <v>254</v>
      </c>
      <c r="E135" s="49">
        <f t="shared" si="1"/>
        <v>1168</v>
      </c>
      <c r="F135" s="50">
        <v>4.08</v>
      </c>
      <c r="G135" s="49"/>
      <c r="H135" s="47">
        <v>489</v>
      </c>
      <c r="I135" s="51"/>
      <c r="J135" s="51"/>
      <c r="K135" s="49">
        <v>312</v>
      </c>
      <c r="L135" s="90"/>
      <c r="M135" s="52"/>
      <c r="N135" s="52"/>
      <c r="O135" s="52"/>
      <c r="P135" s="52"/>
      <c r="Q135" s="52"/>
      <c r="R135" s="61">
        <v>2.7777777777777777</v>
      </c>
      <c r="S135" s="53"/>
      <c r="T135" s="49"/>
      <c r="U135" s="49"/>
      <c r="V135" s="54"/>
      <c r="W135" s="54"/>
      <c r="X135" s="53"/>
      <c r="Y135" s="53"/>
      <c r="Z135" s="49" t="s">
        <v>258</v>
      </c>
      <c r="AA135" s="49" t="s">
        <v>259</v>
      </c>
      <c r="AB135" s="71">
        <v>400</v>
      </c>
      <c r="AC135" s="77">
        <v>140</v>
      </c>
      <c r="AD135" s="38"/>
    </row>
    <row r="136" spans="2:30" x14ac:dyDescent="0.2">
      <c r="B136" s="55" t="s">
        <v>229</v>
      </c>
      <c r="C136" s="49" t="s">
        <v>257</v>
      </c>
      <c r="D136" s="90" t="s">
        <v>256</v>
      </c>
      <c r="E136" s="49">
        <f t="shared" si="1"/>
        <v>1168</v>
      </c>
      <c r="F136" s="50">
        <v>7.26</v>
      </c>
      <c r="G136" s="49"/>
      <c r="H136" s="47">
        <v>4000</v>
      </c>
      <c r="I136" s="51"/>
      <c r="J136" s="51"/>
      <c r="K136" s="49">
        <v>309</v>
      </c>
      <c r="L136" s="90"/>
      <c r="M136" s="52"/>
      <c r="N136" s="52"/>
      <c r="O136" s="52"/>
      <c r="P136" s="52"/>
      <c r="Q136" s="52"/>
      <c r="R136" s="61">
        <v>6.9444444444444446</v>
      </c>
      <c r="S136" s="53"/>
      <c r="T136" s="49"/>
      <c r="U136" s="49"/>
      <c r="V136" s="54"/>
      <c r="W136" s="54"/>
      <c r="X136" s="53"/>
      <c r="Y136" s="53"/>
      <c r="Z136" s="49" t="s">
        <v>263</v>
      </c>
      <c r="AA136" s="49" t="s">
        <v>259</v>
      </c>
      <c r="AB136" s="71">
        <v>400</v>
      </c>
      <c r="AC136" s="77">
        <v>140</v>
      </c>
      <c r="AD136" s="38"/>
    </row>
    <row r="137" spans="2:30" x14ac:dyDescent="0.2">
      <c r="B137" s="55" t="s">
        <v>229</v>
      </c>
      <c r="C137" s="59" t="s">
        <v>250</v>
      </c>
      <c r="D137" s="90" t="s">
        <v>255</v>
      </c>
      <c r="E137" s="49">
        <f t="shared" si="1"/>
        <v>1168</v>
      </c>
      <c r="F137" s="50">
        <v>4.5999999999999996</v>
      </c>
      <c r="G137" s="49"/>
      <c r="H137" s="47">
        <v>445</v>
      </c>
      <c r="I137" s="51"/>
      <c r="J137" s="51"/>
      <c r="K137" s="49">
        <v>325</v>
      </c>
      <c r="L137" s="90"/>
      <c r="M137" s="52"/>
      <c r="N137" s="52"/>
      <c r="O137" s="52"/>
      <c r="P137" s="52"/>
      <c r="Q137" s="52"/>
      <c r="R137" s="61">
        <v>8.3333333333333339</v>
      </c>
      <c r="S137" s="53"/>
      <c r="T137" s="49"/>
      <c r="U137" s="49"/>
      <c r="V137" s="54"/>
      <c r="W137" s="54"/>
      <c r="X137" s="53"/>
      <c r="Y137" s="53"/>
      <c r="Z137" s="49" t="s">
        <v>264</v>
      </c>
      <c r="AA137" s="49" t="s">
        <v>259</v>
      </c>
      <c r="AB137" s="71">
        <v>400</v>
      </c>
      <c r="AC137" s="77">
        <v>140</v>
      </c>
      <c r="AD137" s="38"/>
    </row>
    <row r="138" spans="2:30" x14ac:dyDescent="0.2">
      <c r="B138" s="48" t="s">
        <v>492</v>
      </c>
      <c r="C138" s="49" t="s">
        <v>33</v>
      </c>
      <c r="D138" s="90" t="s">
        <v>34</v>
      </c>
      <c r="E138" s="49">
        <v>808</v>
      </c>
      <c r="F138" s="50">
        <v>2.5000000000000001E-2</v>
      </c>
      <c r="G138" s="49">
        <v>10</v>
      </c>
      <c r="H138" s="52">
        <v>4.4999999999999997E-3</v>
      </c>
      <c r="I138" s="51">
        <f>50/14.7*101.3246</f>
        <v>344.64149659863949</v>
      </c>
      <c r="J138" s="51">
        <v>0</v>
      </c>
      <c r="K138" s="49">
        <v>76</v>
      </c>
      <c r="L138" s="90">
        <v>76</v>
      </c>
      <c r="M138" s="49">
        <v>9</v>
      </c>
      <c r="N138" s="49"/>
      <c r="O138" s="49"/>
      <c r="P138" s="49"/>
      <c r="Q138" s="49"/>
      <c r="R138" s="49"/>
      <c r="S138" s="49"/>
      <c r="T138" s="52">
        <v>5</v>
      </c>
      <c r="U138" s="52"/>
      <c r="V138" s="49"/>
      <c r="W138" s="54">
        <v>15000</v>
      </c>
      <c r="X138" s="53">
        <v>1.2</v>
      </c>
      <c r="Y138" s="53">
        <v>3.5</v>
      </c>
      <c r="Z138" s="49" t="s">
        <v>35</v>
      </c>
      <c r="AA138" s="52" t="s">
        <v>36</v>
      </c>
      <c r="AB138" s="143">
        <v>500</v>
      </c>
      <c r="AC138" s="77">
        <v>100</v>
      </c>
      <c r="AD138" s="38"/>
    </row>
    <row r="139" spans="2:30" x14ac:dyDescent="0.2">
      <c r="B139" s="48" t="s">
        <v>492</v>
      </c>
      <c r="C139" s="49" t="s">
        <v>37</v>
      </c>
      <c r="D139" s="90" t="s">
        <v>38</v>
      </c>
      <c r="E139" s="49">
        <v>808</v>
      </c>
      <c r="F139" s="50">
        <v>2.1999999999999999E-2</v>
      </c>
      <c r="G139" s="49">
        <v>30</v>
      </c>
      <c r="H139" s="52">
        <v>3.5</v>
      </c>
      <c r="I139" s="51">
        <f>300/14.7*101.3246</f>
        <v>2067.8489795918367</v>
      </c>
      <c r="J139" s="51">
        <f>100/14.7*101.3246</f>
        <v>689.28299319727898</v>
      </c>
      <c r="K139" s="49">
        <v>76</v>
      </c>
      <c r="L139" s="90">
        <v>76</v>
      </c>
      <c r="M139" s="49">
        <v>9</v>
      </c>
      <c r="N139" s="49"/>
      <c r="O139" s="49"/>
      <c r="P139" s="49"/>
      <c r="Q139" s="49"/>
      <c r="R139" s="49"/>
      <c r="S139" s="49"/>
      <c r="T139" s="52">
        <v>5</v>
      </c>
      <c r="U139" s="52"/>
      <c r="V139" s="49"/>
      <c r="W139" s="54">
        <v>10000</v>
      </c>
      <c r="X139" s="53">
        <v>1.5</v>
      </c>
      <c r="Y139" s="53">
        <v>2.5</v>
      </c>
      <c r="Z139" s="49" t="s">
        <v>39</v>
      </c>
      <c r="AA139" s="52" t="s">
        <v>36</v>
      </c>
      <c r="AB139" s="143">
        <v>500</v>
      </c>
      <c r="AC139" s="77">
        <v>100</v>
      </c>
      <c r="AD139" s="38"/>
    </row>
    <row r="140" spans="2:30" x14ac:dyDescent="0.2">
      <c r="B140" s="48" t="s">
        <v>492</v>
      </c>
      <c r="C140" s="49" t="s">
        <v>40</v>
      </c>
      <c r="D140" s="90" t="s">
        <v>41</v>
      </c>
      <c r="E140" s="49">
        <v>808</v>
      </c>
      <c r="F140" s="50">
        <v>0.23</v>
      </c>
      <c r="G140" s="49">
        <v>10</v>
      </c>
      <c r="H140" s="53">
        <f>10*4.448</f>
        <v>44.480000000000004</v>
      </c>
      <c r="I140" s="51">
        <f>1500/14.7*101.3246</f>
        <v>10339.244897959185</v>
      </c>
      <c r="J140" s="51">
        <f>700/14.7*101.3246</f>
        <v>4824.9809523809527</v>
      </c>
      <c r="K140" s="49">
        <v>76</v>
      </c>
      <c r="L140" s="90">
        <v>76</v>
      </c>
      <c r="M140" s="49">
        <v>9</v>
      </c>
      <c r="N140" s="49"/>
      <c r="O140" s="49"/>
      <c r="P140" s="49"/>
      <c r="Q140" s="49"/>
      <c r="R140" s="49"/>
      <c r="S140" s="49"/>
      <c r="T140" s="52">
        <v>5</v>
      </c>
      <c r="U140" s="52"/>
      <c r="V140" s="49"/>
      <c r="W140" s="54">
        <v>5000</v>
      </c>
      <c r="X140" s="53">
        <v>8.66</v>
      </c>
      <c r="Y140" s="53">
        <v>6.41</v>
      </c>
      <c r="Z140" s="49" t="s">
        <v>42</v>
      </c>
      <c r="AA140" s="52" t="s">
        <v>36</v>
      </c>
      <c r="AB140" s="143">
        <v>500</v>
      </c>
      <c r="AC140" s="77">
        <v>100</v>
      </c>
      <c r="AD140" s="38"/>
    </row>
    <row r="141" spans="2:30" x14ac:dyDescent="0.2">
      <c r="B141" s="48" t="s">
        <v>492</v>
      </c>
      <c r="C141" s="49" t="s">
        <v>43</v>
      </c>
      <c r="D141" s="90" t="s">
        <v>44</v>
      </c>
      <c r="E141" s="49">
        <v>808</v>
      </c>
      <c r="F141" s="50">
        <v>0.43</v>
      </c>
      <c r="G141" s="49">
        <v>10</v>
      </c>
      <c r="H141" s="49">
        <v>105</v>
      </c>
      <c r="I141" s="51">
        <f>2500/14.7*101.3246</f>
        <v>17232.074829931975</v>
      </c>
      <c r="J141" s="51">
        <f>200/14.7*101.3246</f>
        <v>1378.565986394558</v>
      </c>
      <c r="K141" s="49">
        <v>76</v>
      </c>
      <c r="L141" s="90">
        <v>76</v>
      </c>
      <c r="M141" s="49">
        <v>9</v>
      </c>
      <c r="N141" s="49"/>
      <c r="O141" s="49"/>
      <c r="P141" s="49"/>
      <c r="Q141" s="49"/>
      <c r="R141" s="49"/>
      <c r="S141" s="49"/>
      <c r="T141" s="52">
        <v>5</v>
      </c>
      <c r="U141" s="52"/>
      <c r="V141" s="49"/>
      <c r="W141" s="54">
        <v>6000</v>
      </c>
      <c r="X141" s="53">
        <v>9.8000000000000007</v>
      </c>
      <c r="Y141" s="53">
        <v>10.4</v>
      </c>
      <c r="Z141" s="49" t="s">
        <v>45</v>
      </c>
      <c r="AA141" s="52" t="s">
        <v>36</v>
      </c>
      <c r="AB141" s="143">
        <v>500</v>
      </c>
      <c r="AC141" s="77">
        <v>100</v>
      </c>
      <c r="AD141" s="38"/>
    </row>
    <row r="142" spans="2:30" ht="13.5" thickBot="1" x14ac:dyDescent="0.25">
      <c r="B142" s="62" t="s">
        <v>492</v>
      </c>
      <c r="C142" s="63" t="s">
        <v>46</v>
      </c>
      <c r="D142" s="100" t="s">
        <v>47</v>
      </c>
      <c r="E142" s="63">
        <v>808</v>
      </c>
      <c r="F142" s="64">
        <v>0.18</v>
      </c>
      <c r="G142" s="63">
        <v>30</v>
      </c>
      <c r="H142" s="65">
        <f>60*4.448</f>
        <v>266.88</v>
      </c>
      <c r="I142" s="65">
        <f>1500/14.7*101.3246</f>
        <v>10339.244897959185</v>
      </c>
      <c r="J142" s="65">
        <f>700/14.7*101.3246</f>
        <v>4824.9809523809527</v>
      </c>
      <c r="K142" s="63">
        <v>76</v>
      </c>
      <c r="L142" s="100">
        <v>76</v>
      </c>
      <c r="M142" s="63">
        <v>9</v>
      </c>
      <c r="N142" s="63"/>
      <c r="O142" s="63"/>
      <c r="P142" s="63"/>
      <c r="Q142" s="63"/>
      <c r="R142" s="63"/>
      <c r="S142" s="63"/>
      <c r="T142" s="66">
        <v>5</v>
      </c>
      <c r="U142" s="66"/>
      <c r="V142" s="63"/>
      <c r="W142" s="67">
        <v>10000</v>
      </c>
      <c r="X142" s="68">
        <v>5.4</v>
      </c>
      <c r="Y142" s="68">
        <v>6.7</v>
      </c>
      <c r="Z142" s="63" t="s">
        <v>48</v>
      </c>
      <c r="AA142" s="66" t="s">
        <v>36</v>
      </c>
      <c r="AB142" s="144">
        <v>500</v>
      </c>
      <c r="AC142" s="69">
        <v>100</v>
      </c>
      <c r="AD142" s="38"/>
    </row>
    <row r="143" spans="2:30" s="20" customFormat="1" x14ac:dyDescent="0.2">
      <c r="B143" s="40"/>
      <c r="C143" s="40"/>
      <c r="D143" s="40"/>
      <c r="E143" s="40"/>
      <c r="F143" s="41"/>
      <c r="G143" s="40"/>
      <c r="H143" s="42"/>
      <c r="I143" s="42"/>
      <c r="J143" s="42"/>
      <c r="K143" s="40"/>
      <c r="L143" s="40"/>
      <c r="M143" s="40"/>
      <c r="N143" s="40"/>
      <c r="O143" s="40"/>
      <c r="P143" s="40"/>
      <c r="Q143" s="40"/>
      <c r="R143" s="40"/>
      <c r="S143" s="40"/>
      <c r="T143" s="33"/>
      <c r="U143" s="33"/>
      <c r="V143" s="40"/>
      <c r="W143" s="43"/>
      <c r="X143" s="44"/>
      <c r="Y143" s="44"/>
      <c r="Z143" s="40"/>
      <c r="AA143" s="33"/>
      <c r="AB143" s="40"/>
      <c r="AC143" s="33"/>
      <c r="AD143" s="39"/>
    </row>
    <row r="144" spans="2:30" ht="21" thickBot="1" x14ac:dyDescent="0.35">
      <c r="B144" s="21" t="s">
        <v>499</v>
      </c>
    </row>
    <row r="145" spans="2:7" ht="25.5" x14ac:dyDescent="0.2">
      <c r="B145" s="222" t="s">
        <v>327</v>
      </c>
      <c r="C145" s="222" t="s">
        <v>328</v>
      </c>
      <c r="D145" s="222" t="s">
        <v>329</v>
      </c>
      <c r="E145" s="222" t="s">
        <v>330</v>
      </c>
      <c r="F145" s="222" t="s">
        <v>332</v>
      </c>
      <c r="G145" s="222" t="s">
        <v>333</v>
      </c>
    </row>
    <row r="146" spans="2:7" x14ac:dyDescent="0.2">
      <c r="B146" s="70" t="s">
        <v>291</v>
      </c>
      <c r="C146" s="71" t="s">
        <v>292</v>
      </c>
      <c r="D146" s="71">
        <v>32</v>
      </c>
      <c r="E146" s="71">
        <v>1.1399999999999999</v>
      </c>
      <c r="F146" s="71">
        <v>-218.8</v>
      </c>
      <c r="G146" s="72">
        <v>-183</v>
      </c>
    </row>
    <row r="147" spans="2:7" x14ac:dyDescent="0.2">
      <c r="B147" s="70" t="s">
        <v>293</v>
      </c>
      <c r="C147" s="71" t="s">
        <v>294</v>
      </c>
      <c r="D147" s="71">
        <v>38</v>
      </c>
      <c r="E147" s="71">
        <v>1.5</v>
      </c>
      <c r="F147" s="71">
        <v>-219.6</v>
      </c>
      <c r="G147" s="72">
        <v>-188.1</v>
      </c>
    </row>
    <row r="148" spans="2:7" x14ac:dyDescent="0.2">
      <c r="B148" s="70" t="s">
        <v>335</v>
      </c>
      <c r="C148" s="71" t="s">
        <v>336</v>
      </c>
      <c r="D148" s="71">
        <v>30</v>
      </c>
      <c r="E148" s="71">
        <v>0.80800000000000005</v>
      </c>
      <c r="F148" s="71">
        <v>-209.95</v>
      </c>
      <c r="G148" s="72">
        <v>-195.86</v>
      </c>
    </row>
    <row r="149" spans="2:7" x14ac:dyDescent="0.2">
      <c r="B149" s="70" t="s">
        <v>295</v>
      </c>
      <c r="C149" s="71" t="s">
        <v>296</v>
      </c>
      <c r="D149" s="71">
        <v>92.01</v>
      </c>
      <c r="E149" s="71">
        <v>1.45</v>
      </c>
      <c r="F149" s="71">
        <v>-9.3000000000000007</v>
      </c>
      <c r="G149" s="72">
        <v>21.15</v>
      </c>
    </row>
    <row r="150" spans="2:7" x14ac:dyDescent="0.2">
      <c r="B150" s="70" t="s">
        <v>297</v>
      </c>
      <c r="C150" s="71" t="s">
        <v>298</v>
      </c>
      <c r="D150" s="71">
        <v>63.01</v>
      </c>
      <c r="E150" s="71">
        <v>1.55</v>
      </c>
      <c r="F150" s="71">
        <v>-41.6</v>
      </c>
      <c r="G150" s="72">
        <v>83</v>
      </c>
    </row>
    <row r="151" spans="2:7" x14ac:dyDescent="0.2">
      <c r="B151" s="70" t="s">
        <v>299</v>
      </c>
      <c r="C151" s="71" t="s">
        <v>300</v>
      </c>
      <c r="D151" s="71">
        <v>34.020000000000003</v>
      </c>
      <c r="E151" s="71">
        <v>1.44</v>
      </c>
      <c r="F151" s="71">
        <v>-0.4</v>
      </c>
      <c r="G151" s="72">
        <v>150.19999999999999</v>
      </c>
    </row>
    <row r="152" spans="2:7" x14ac:dyDescent="0.2">
      <c r="B152" s="70" t="s">
        <v>301</v>
      </c>
      <c r="C152" s="71" t="s">
        <v>302</v>
      </c>
      <c r="D152" s="71">
        <v>44.01</v>
      </c>
      <c r="E152" s="71">
        <v>1.22</v>
      </c>
      <c r="F152" s="71">
        <v>-90.8</v>
      </c>
      <c r="G152" s="72">
        <v>-88.5</v>
      </c>
    </row>
    <row r="153" spans="2:7" x14ac:dyDescent="0.2">
      <c r="B153" s="70" t="s">
        <v>303</v>
      </c>
      <c r="C153" s="71" t="s">
        <v>304</v>
      </c>
      <c r="D153" s="71">
        <v>130.44999999999999</v>
      </c>
      <c r="E153" s="71">
        <v>1.9</v>
      </c>
      <c r="F153" s="71">
        <v>-103</v>
      </c>
      <c r="G153" s="72">
        <v>-13.1</v>
      </c>
    </row>
    <row r="154" spans="2:7" x14ac:dyDescent="0.2">
      <c r="B154" s="70" t="s">
        <v>305</v>
      </c>
      <c r="C154" s="71" t="s">
        <v>306</v>
      </c>
      <c r="D154" s="71">
        <v>117.49</v>
      </c>
      <c r="E154" s="71">
        <v>1.95</v>
      </c>
      <c r="F154" s="71">
        <v>240</v>
      </c>
      <c r="G154" s="72" t="s">
        <v>307</v>
      </c>
    </row>
    <row r="155" spans="2:7" x14ac:dyDescent="0.2">
      <c r="B155" s="70" t="s">
        <v>308</v>
      </c>
      <c r="C155" s="71" t="s">
        <v>309</v>
      </c>
      <c r="D155" s="71">
        <v>2.016</v>
      </c>
      <c r="E155" s="71">
        <v>7.0999999999999994E-2</v>
      </c>
      <c r="F155" s="71">
        <v>-259.3</v>
      </c>
      <c r="G155" s="72">
        <v>-252.9</v>
      </c>
    </row>
    <row r="156" spans="2:7" x14ac:dyDescent="0.2">
      <c r="B156" s="70" t="s">
        <v>310</v>
      </c>
      <c r="C156" s="71" t="s">
        <v>311</v>
      </c>
      <c r="D156" s="71">
        <v>16.04</v>
      </c>
      <c r="E156" s="71">
        <v>0.42299999999999999</v>
      </c>
      <c r="F156" s="71">
        <v>-182.5</v>
      </c>
      <c r="G156" s="72">
        <v>-161.6</v>
      </c>
    </row>
    <row r="157" spans="2:7" x14ac:dyDescent="0.2">
      <c r="B157" s="70" t="s">
        <v>312</v>
      </c>
      <c r="C157" s="71" t="s">
        <v>313</v>
      </c>
      <c r="D157" s="71">
        <v>46.07</v>
      </c>
      <c r="E157" s="71">
        <v>0.78900000000000003</v>
      </c>
      <c r="F157" s="71">
        <v>-114.1</v>
      </c>
      <c r="G157" s="72">
        <v>78.2</v>
      </c>
    </row>
    <row r="158" spans="2:7" x14ac:dyDescent="0.2">
      <c r="B158" s="70" t="s">
        <v>314</v>
      </c>
      <c r="C158" s="71" t="s">
        <v>315</v>
      </c>
      <c r="D158" s="71">
        <v>170.34</v>
      </c>
      <c r="E158" s="71">
        <v>0.749</v>
      </c>
      <c r="F158" s="71">
        <v>-9.6</v>
      </c>
      <c r="G158" s="72">
        <v>216.3</v>
      </c>
    </row>
    <row r="159" spans="2:7" x14ac:dyDescent="0.2">
      <c r="B159" s="70" t="s">
        <v>316</v>
      </c>
      <c r="C159" s="71" t="s">
        <v>317</v>
      </c>
      <c r="D159" s="71">
        <v>175</v>
      </c>
      <c r="E159" s="71">
        <v>0.82</v>
      </c>
      <c r="F159" s="71" t="s">
        <v>307</v>
      </c>
      <c r="G159" s="72" t="s">
        <v>331</v>
      </c>
    </row>
    <row r="160" spans="2:7" x14ac:dyDescent="0.2">
      <c r="B160" s="70" t="s">
        <v>2</v>
      </c>
      <c r="C160" s="71" t="s">
        <v>318</v>
      </c>
      <c r="D160" s="71">
        <v>32.049999999999997</v>
      </c>
      <c r="E160" s="71">
        <v>1.004</v>
      </c>
      <c r="F160" s="71">
        <v>1.4</v>
      </c>
      <c r="G160" s="72">
        <v>113.5</v>
      </c>
    </row>
    <row r="161" spans="2:29" x14ac:dyDescent="0.2">
      <c r="B161" s="70" t="s">
        <v>319</v>
      </c>
      <c r="C161" s="71" t="s">
        <v>320</v>
      </c>
      <c r="D161" s="71">
        <v>46.07</v>
      </c>
      <c r="E161" s="71">
        <v>0.86599999999999999</v>
      </c>
      <c r="F161" s="71">
        <v>-52.4</v>
      </c>
      <c r="G161" s="72">
        <v>87.5</v>
      </c>
    </row>
    <row r="162" spans="2:29" x14ac:dyDescent="0.2">
      <c r="B162" s="70" t="s">
        <v>321</v>
      </c>
      <c r="C162" s="71" t="s">
        <v>322</v>
      </c>
      <c r="D162" s="71">
        <v>60.1</v>
      </c>
      <c r="E162" s="71">
        <v>0.79100000000000004</v>
      </c>
      <c r="F162" s="71">
        <v>-58</v>
      </c>
      <c r="G162" s="72">
        <v>63.9</v>
      </c>
    </row>
    <row r="163" spans="2:29" x14ac:dyDescent="0.2">
      <c r="B163" s="70" t="s">
        <v>323</v>
      </c>
      <c r="C163" s="71" t="s">
        <v>324</v>
      </c>
      <c r="D163" s="71">
        <v>26.98</v>
      </c>
      <c r="E163" s="71">
        <v>2.7</v>
      </c>
      <c r="F163" s="71">
        <v>660.4</v>
      </c>
      <c r="G163" s="72">
        <v>2467</v>
      </c>
    </row>
    <row r="164" spans="2:29" ht="13.5" thickBot="1" x14ac:dyDescent="0.25">
      <c r="B164" s="73" t="s">
        <v>325</v>
      </c>
      <c r="C164" s="74" t="s">
        <v>326</v>
      </c>
      <c r="D164" s="74">
        <v>3000</v>
      </c>
      <c r="E164" s="74">
        <v>0.9</v>
      </c>
      <c r="F164" s="74" t="s">
        <v>307</v>
      </c>
      <c r="G164" s="75" t="s">
        <v>307</v>
      </c>
    </row>
    <row r="166" spans="2:29" ht="21" thickBot="1" x14ac:dyDescent="0.35">
      <c r="B166" s="21" t="s">
        <v>500</v>
      </c>
    </row>
    <row r="167" spans="2:29" ht="38.25" x14ac:dyDescent="0.2">
      <c r="B167" s="222" t="s">
        <v>233</v>
      </c>
      <c r="C167" s="222" t="s">
        <v>20</v>
      </c>
      <c r="D167" s="222" t="s">
        <v>21</v>
      </c>
      <c r="E167" s="222" t="s">
        <v>49</v>
      </c>
      <c r="F167" s="222" t="s">
        <v>22</v>
      </c>
      <c r="G167" s="222" t="s">
        <v>23</v>
      </c>
      <c r="H167" s="222" t="s">
        <v>24</v>
      </c>
      <c r="I167" s="222" t="s">
        <v>25</v>
      </c>
      <c r="J167" s="222" t="s">
        <v>111</v>
      </c>
      <c r="K167" s="222" t="s">
        <v>26</v>
      </c>
      <c r="L167" s="222" t="s">
        <v>27</v>
      </c>
      <c r="M167" s="222" t="s">
        <v>50</v>
      </c>
      <c r="N167" s="222" t="s">
        <v>51</v>
      </c>
      <c r="O167" s="222" t="s">
        <v>18</v>
      </c>
      <c r="P167" s="222" t="s">
        <v>52</v>
      </c>
      <c r="Q167" s="222" t="s">
        <v>53</v>
      </c>
      <c r="R167" s="222" t="s">
        <v>54</v>
      </c>
      <c r="S167" s="222" t="s">
        <v>28</v>
      </c>
      <c r="T167" s="222" t="s">
        <v>496</v>
      </c>
      <c r="U167" s="222"/>
      <c r="V167" s="222" t="s">
        <v>29</v>
      </c>
      <c r="W167" s="222" t="s">
        <v>30</v>
      </c>
      <c r="X167" s="222" t="s">
        <v>31</v>
      </c>
      <c r="Y167" s="222" t="s">
        <v>19</v>
      </c>
      <c r="Z167" s="222" t="s">
        <v>32</v>
      </c>
      <c r="AA167" s="222" t="s">
        <v>234</v>
      </c>
      <c r="AB167" s="222" t="s">
        <v>235</v>
      </c>
      <c r="AC167" s="35"/>
    </row>
    <row r="168" spans="2:29" x14ac:dyDescent="0.2">
      <c r="B168" s="76" t="s">
        <v>230</v>
      </c>
      <c r="C168" s="52" t="s">
        <v>55</v>
      </c>
      <c r="D168" s="201" t="s">
        <v>56</v>
      </c>
      <c r="E168" s="53">
        <v>3.5</v>
      </c>
      <c r="F168" s="52">
        <v>1350</v>
      </c>
      <c r="G168" s="52">
        <v>8.3000000000000004E-2</v>
      </c>
      <c r="H168" s="52"/>
      <c r="I168" s="52"/>
      <c r="J168" s="49">
        <v>1600</v>
      </c>
      <c r="K168" s="49">
        <v>1600</v>
      </c>
      <c r="L168" s="52">
        <v>9</v>
      </c>
      <c r="M168" s="53">
        <v>7</v>
      </c>
      <c r="N168" s="53">
        <v>2.2000000000000002</v>
      </c>
      <c r="O168" s="52">
        <v>0.93</v>
      </c>
      <c r="P168" s="52">
        <v>0.48</v>
      </c>
      <c r="Q168" s="52"/>
      <c r="R168" s="52">
        <v>1</v>
      </c>
      <c r="S168" s="52">
        <v>120</v>
      </c>
      <c r="T168" s="58">
        <v>1000000</v>
      </c>
      <c r="U168" s="58"/>
      <c r="V168" s="58">
        <v>4000</v>
      </c>
      <c r="W168" s="52">
        <v>15</v>
      </c>
      <c r="X168" s="52">
        <v>22</v>
      </c>
      <c r="Y168" s="49" t="s">
        <v>57</v>
      </c>
      <c r="Z168" s="49" t="s">
        <v>58</v>
      </c>
      <c r="AA168" s="49">
        <v>2000</v>
      </c>
      <c r="AB168" s="77">
        <v>85</v>
      </c>
    </row>
    <row r="169" spans="2:29" x14ac:dyDescent="0.2">
      <c r="B169" s="76" t="s">
        <v>230</v>
      </c>
      <c r="C169" s="52" t="s">
        <v>59</v>
      </c>
      <c r="D169" s="201" t="s">
        <v>60</v>
      </c>
      <c r="E169" s="53">
        <v>6.8</v>
      </c>
      <c r="F169" s="52">
        <v>4500</v>
      </c>
      <c r="G169" s="52">
        <v>0.28999999999999998</v>
      </c>
      <c r="H169" s="52"/>
      <c r="I169" s="52"/>
      <c r="J169" s="49">
        <v>1770</v>
      </c>
      <c r="K169" s="49">
        <v>1770</v>
      </c>
      <c r="L169" s="52">
        <v>6</v>
      </c>
      <c r="M169" s="53">
        <v>13.7</v>
      </c>
      <c r="N169" s="53">
        <v>2.2000000000000002</v>
      </c>
      <c r="O169" s="52">
        <v>0.95</v>
      </c>
      <c r="P169" s="52">
        <v>0.55000000000000004</v>
      </c>
      <c r="Q169" s="52">
        <v>10000</v>
      </c>
      <c r="R169" s="52">
        <v>2</v>
      </c>
      <c r="S169" s="52">
        <v>120</v>
      </c>
      <c r="T169" s="58">
        <v>5850000</v>
      </c>
      <c r="U169" s="58"/>
      <c r="V169" s="58"/>
      <c r="W169" s="52"/>
      <c r="X169" s="52"/>
      <c r="Y169" s="52" t="s">
        <v>61</v>
      </c>
      <c r="Z169" s="52" t="s">
        <v>62</v>
      </c>
      <c r="AA169" s="49">
        <v>2000</v>
      </c>
      <c r="AB169" s="77">
        <v>85</v>
      </c>
    </row>
    <row r="170" spans="2:29" x14ac:dyDescent="0.2">
      <c r="B170" s="76" t="s">
        <v>230</v>
      </c>
      <c r="C170" s="52" t="s">
        <v>63</v>
      </c>
      <c r="D170" s="201" t="s">
        <v>64</v>
      </c>
      <c r="E170" s="53">
        <v>4.2</v>
      </c>
      <c r="F170" s="52">
        <v>1350</v>
      </c>
      <c r="G170" s="52">
        <v>8.3000000000000004E-2</v>
      </c>
      <c r="H170" s="52"/>
      <c r="I170" s="52"/>
      <c r="J170" s="49">
        <v>1630</v>
      </c>
      <c r="K170" s="49">
        <v>1630</v>
      </c>
      <c r="L170" s="52">
        <v>9</v>
      </c>
      <c r="M170" s="53">
        <v>7</v>
      </c>
      <c r="N170" s="53">
        <v>2.2000000000000002</v>
      </c>
      <c r="O170" s="52">
        <v>0.93</v>
      </c>
      <c r="P170" s="52">
        <v>0.52</v>
      </c>
      <c r="Q170" s="52">
        <v>10000</v>
      </c>
      <c r="R170" s="52">
        <v>1</v>
      </c>
      <c r="S170" s="52">
        <v>120</v>
      </c>
      <c r="T170" s="58"/>
      <c r="U170" s="58"/>
      <c r="V170" s="58"/>
      <c r="W170" s="52">
        <v>13</v>
      </c>
      <c r="X170" s="52">
        <v>23</v>
      </c>
      <c r="Y170" s="52" t="s">
        <v>65</v>
      </c>
      <c r="Z170" s="52" t="s">
        <v>66</v>
      </c>
      <c r="AA170" s="49">
        <v>2000</v>
      </c>
      <c r="AB170" s="77">
        <v>85</v>
      </c>
    </row>
    <row r="171" spans="2:29" x14ac:dyDescent="0.2">
      <c r="B171" s="76" t="s">
        <v>230</v>
      </c>
      <c r="C171" s="52" t="s">
        <v>67</v>
      </c>
      <c r="D171" s="201" t="s">
        <v>68</v>
      </c>
      <c r="E171" s="53">
        <v>9.1999999999999993</v>
      </c>
      <c r="F171" s="52">
        <v>4500</v>
      </c>
      <c r="G171" s="52">
        <v>0.24</v>
      </c>
      <c r="H171" s="52"/>
      <c r="I171" s="52"/>
      <c r="J171" s="49">
        <v>1900</v>
      </c>
      <c r="K171" s="49">
        <v>1900</v>
      </c>
      <c r="L171" s="52">
        <v>9</v>
      </c>
      <c r="M171" s="53">
        <v>12</v>
      </c>
      <c r="N171" s="53">
        <v>2.2000000000000002</v>
      </c>
      <c r="O171" s="52">
        <v>0.93</v>
      </c>
      <c r="P171" s="52">
        <v>0.56000000000000005</v>
      </c>
      <c r="Q171" s="52">
        <v>10000</v>
      </c>
      <c r="R171" s="52">
        <v>1</v>
      </c>
      <c r="S171" s="52">
        <v>120</v>
      </c>
      <c r="T171" s="58"/>
      <c r="U171" s="58"/>
      <c r="V171" s="58"/>
      <c r="W171" s="52">
        <v>22</v>
      </c>
      <c r="X171" s="52">
        <v>30</v>
      </c>
      <c r="Y171" s="52" t="s">
        <v>65</v>
      </c>
      <c r="Z171" s="52" t="s">
        <v>66</v>
      </c>
      <c r="AA171" s="49">
        <v>2000</v>
      </c>
      <c r="AB171" s="77">
        <v>85</v>
      </c>
    </row>
    <row r="172" spans="2:29" x14ac:dyDescent="0.2">
      <c r="B172" s="76" t="s">
        <v>232</v>
      </c>
      <c r="C172" s="52" t="s">
        <v>69</v>
      </c>
      <c r="D172" s="201" t="s">
        <v>70</v>
      </c>
      <c r="E172" s="53">
        <v>4.2</v>
      </c>
      <c r="F172" s="52">
        <v>1000</v>
      </c>
      <c r="G172" s="52">
        <v>7.2999999999999995E-2</v>
      </c>
      <c r="H172" s="52"/>
      <c r="I172" s="52"/>
      <c r="J172" s="49">
        <v>1800</v>
      </c>
      <c r="K172" s="49">
        <v>1800</v>
      </c>
      <c r="L172" s="52">
        <v>9</v>
      </c>
      <c r="M172" s="53">
        <v>7</v>
      </c>
      <c r="N172" s="53">
        <v>2.2000000000000002</v>
      </c>
      <c r="O172" s="52">
        <v>0.93</v>
      </c>
      <c r="P172" s="52">
        <v>0.52</v>
      </c>
      <c r="Q172" s="52">
        <v>10000</v>
      </c>
      <c r="R172" s="52">
        <v>1</v>
      </c>
      <c r="S172" s="52">
        <v>120</v>
      </c>
      <c r="T172" s="58"/>
      <c r="U172" s="58"/>
      <c r="V172" s="58"/>
      <c r="W172" s="52"/>
      <c r="X172" s="52"/>
      <c r="Y172" s="52" t="s">
        <v>65</v>
      </c>
      <c r="Z172" s="52" t="s">
        <v>71</v>
      </c>
      <c r="AA172" s="49">
        <v>2000</v>
      </c>
      <c r="AB172" s="77">
        <v>85</v>
      </c>
    </row>
    <row r="173" spans="2:29" x14ac:dyDescent="0.2">
      <c r="B173" s="76" t="s">
        <v>232</v>
      </c>
      <c r="C173" s="52" t="s">
        <v>72</v>
      </c>
      <c r="D173" s="201" t="s">
        <v>73</v>
      </c>
      <c r="E173" s="53">
        <v>9.1999999999999993</v>
      </c>
      <c r="F173" s="52">
        <v>2700</v>
      </c>
      <c r="G173" s="52">
        <v>0.12</v>
      </c>
      <c r="H173" s="52"/>
      <c r="I173" s="52"/>
      <c r="J173" s="49">
        <v>1900</v>
      </c>
      <c r="K173" s="49">
        <v>1900</v>
      </c>
      <c r="L173" s="52">
        <v>9</v>
      </c>
      <c r="M173" s="53">
        <v>12</v>
      </c>
      <c r="N173" s="53">
        <v>2.2000000000000002</v>
      </c>
      <c r="O173" s="52">
        <v>0.93</v>
      </c>
      <c r="P173" s="52">
        <v>0.56000000000000005</v>
      </c>
      <c r="Q173" s="52">
        <v>10000</v>
      </c>
      <c r="R173" s="52">
        <v>1</v>
      </c>
      <c r="S173" s="52">
        <v>120</v>
      </c>
      <c r="T173" s="58"/>
      <c r="U173" s="58"/>
      <c r="V173" s="58"/>
      <c r="W173" s="52"/>
      <c r="X173" s="52"/>
      <c r="Y173" s="52" t="s">
        <v>65</v>
      </c>
      <c r="Z173" s="52" t="s">
        <v>71</v>
      </c>
      <c r="AA173" s="49">
        <v>2000</v>
      </c>
      <c r="AB173" s="77">
        <v>85</v>
      </c>
    </row>
    <row r="174" spans="2:29" x14ac:dyDescent="0.2">
      <c r="B174" s="76" t="s">
        <v>232</v>
      </c>
      <c r="C174" s="52" t="s">
        <v>74</v>
      </c>
      <c r="D174" s="201" t="s">
        <v>74</v>
      </c>
      <c r="E174" s="53">
        <v>5.2</v>
      </c>
      <c r="F174" s="52">
        <v>2200</v>
      </c>
      <c r="G174" s="52">
        <v>0.123</v>
      </c>
      <c r="H174" s="52"/>
      <c r="I174" s="52"/>
      <c r="J174" s="49">
        <v>1765</v>
      </c>
      <c r="K174" s="49">
        <v>1765</v>
      </c>
      <c r="L174" s="52">
        <v>7</v>
      </c>
      <c r="M174" s="53">
        <f>(105.8/2.205)/4</f>
        <v>11.995464852607709</v>
      </c>
      <c r="N174" s="53">
        <f>2.4/2.205/4/4.5</f>
        <v>6.046863189720332E-2</v>
      </c>
      <c r="O174" s="52">
        <v>0.93</v>
      </c>
      <c r="P174" s="52">
        <v>0.56000000000000005</v>
      </c>
      <c r="Q174" s="52">
        <v>10000</v>
      </c>
      <c r="R174" s="52">
        <v>1</v>
      </c>
      <c r="S174" s="52">
        <v>120</v>
      </c>
      <c r="T174" s="58">
        <v>2600000</v>
      </c>
      <c r="U174" s="58"/>
      <c r="V174" s="58"/>
      <c r="W174" s="52">
        <v>15</v>
      </c>
      <c r="X174" s="52">
        <v>20</v>
      </c>
      <c r="Y174" s="52" t="s">
        <v>75</v>
      </c>
      <c r="Z174" s="52" t="s">
        <v>76</v>
      </c>
      <c r="AA174" s="49">
        <v>2000</v>
      </c>
      <c r="AB174" s="77">
        <v>85</v>
      </c>
    </row>
    <row r="175" spans="2:29" x14ac:dyDescent="0.2">
      <c r="B175" s="76" t="s">
        <v>232</v>
      </c>
      <c r="C175" s="52" t="s">
        <v>77</v>
      </c>
      <c r="D175" s="201" t="s">
        <v>78</v>
      </c>
      <c r="E175" s="53">
        <f>(81.7/2.205)/4</f>
        <v>9.2630385487528351</v>
      </c>
      <c r="F175" s="52">
        <v>4500</v>
      </c>
      <c r="G175" s="52">
        <v>0.29399999999999998</v>
      </c>
      <c r="H175" s="52"/>
      <c r="I175" s="52"/>
      <c r="J175" s="49">
        <v>1844</v>
      </c>
      <c r="K175" s="49">
        <v>1844</v>
      </c>
      <c r="L175" s="52">
        <v>7</v>
      </c>
      <c r="M175" s="53">
        <f>(105.8/2.205)/4</f>
        <v>11.995464852607709</v>
      </c>
      <c r="N175" s="53">
        <f>2.4/2.205/4/4.5</f>
        <v>6.046863189720332E-2</v>
      </c>
      <c r="O175" s="52">
        <v>0.93</v>
      </c>
      <c r="P175" s="52">
        <v>0.56000000000000005</v>
      </c>
      <c r="Q175" s="52">
        <v>10000</v>
      </c>
      <c r="R175" s="52">
        <v>1</v>
      </c>
      <c r="S175" s="52">
        <v>120</v>
      </c>
      <c r="T175" s="58"/>
      <c r="U175" s="58"/>
      <c r="V175" s="58"/>
      <c r="W175" s="52"/>
      <c r="X175" s="52"/>
      <c r="Y175" s="52" t="s">
        <v>79</v>
      </c>
      <c r="Z175" s="52" t="s">
        <v>80</v>
      </c>
      <c r="AA175" s="49">
        <v>2000</v>
      </c>
      <c r="AB175" s="77">
        <v>85</v>
      </c>
    </row>
    <row r="176" spans="2:29" x14ac:dyDescent="0.2">
      <c r="B176" s="76" t="s">
        <v>232</v>
      </c>
      <c r="C176" s="52" t="s">
        <v>81</v>
      </c>
      <c r="D176" s="201" t="s">
        <v>78</v>
      </c>
      <c r="E176" s="53">
        <f>(81.7/2.205)/4</f>
        <v>9.2630385487528351</v>
      </c>
      <c r="F176" s="52">
        <v>3000</v>
      </c>
      <c r="G176" s="52">
        <v>0.161</v>
      </c>
      <c r="H176" s="52"/>
      <c r="I176" s="52"/>
      <c r="J176" s="49">
        <v>1880</v>
      </c>
      <c r="K176" s="49">
        <v>1880</v>
      </c>
      <c r="L176" s="52">
        <v>7</v>
      </c>
      <c r="M176" s="53">
        <f>(105.8/2.205)/4</f>
        <v>11.995464852607709</v>
      </c>
      <c r="N176" s="53">
        <f>2.4/2.205/4/3</f>
        <v>9.0702947845804974E-2</v>
      </c>
      <c r="O176" s="52">
        <v>0.93</v>
      </c>
      <c r="P176" s="52">
        <v>0.56000000000000005</v>
      </c>
      <c r="Q176" s="52">
        <v>10000</v>
      </c>
      <c r="R176" s="52">
        <v>1</v>
      </c>
      <c r="S176" s="52">
        <v>120</v>
      </c>
      <c r="T176" s="58"/>
      <c r="U176" s="58"/>
      <c r="V176" s="58"/>
      <c r="W176" s="52"/>
      <c r="X176" s="52"/>
      <c r="Y176" s="52" t="s">
        <v>79</v>
      </c>
      <c r="Z176" s="52" t="s">
        <v>82</v>
      </c>
      <c r="AA176" s="49">
        <v>2000</v>
      </c>
      <c r="AB176" s="77">
        <v>85</v>
      </c>
    </row>
    <row r="177" spans="2:28" x14ac:dyDescent="0.2">
      <c r="B177" s="76" t="s">
        <v>232</v>
      </c>
      <c r="C177" s="52" t="s">
        <v>100</v>
      </c>
      <c r="D177" s="201" t="s">
        <v>101</v>
      </c>
      <c r="E177" s="53">
        <f>1.12+1.32</f>
        <v>2.4400000000000004</v>
      </c>
      <c r="F177" s="52">
        <v>275</v>
      </c>
      <c r="G177" s="52">
        <v>1.2200000000000001E-2</v>
      </c>
      <c r="H177" s="52"/>
      <c r="I177" s="52"/>
      <c r="J177" s="49">
        <v>1390</v>
      </c>
      <c r="K177" s="49">
        <v>1390</v>
      </c>
      <c r="L177" s="52">
        <v>6</v>
      </c>
      <c r="M177" s="53">
        <v>3.66</v>
      </c>
      <c r="N177" s="53">
        <v>2.2000000000000002</v>
      </c>
      <c r="O177" s="52">
        <v>0.93</v>
      </c>
      <c r="P177" s="52">
        <v>0.52</v>
      </c>
      <c r="Q177" s="52">
        <v>1000</v>
      </c>
      <c r="R177" s="52">
        <v>1</v>
      </c>
      <c r="S177" s="52">
        <v>10</v>
      </c>
      <c r="T177" s="58"/>
      <c r="U177" s="58"/>
      <c r="V177" s="58"/>
      <c r="W177" s="52"/>
      <c r="X177" s="52"/>
      <c r="Y177" s="52" t="s">
        <v>102</v>
      </c>
      <c r="Z177" s="52" t="s">
        <v>103</v>
      </c>
      <c r="AA177" s="49">
        <v>2000</v>
      </c>
      <c r="AB177" s="77">
        <v>85</v>
      </c>
    </row>
    <row r="178" spans="2:28" x14ac:dyDescent="0.2">
      <c r="B178" s="76" t="s">
        <v>231</v>
      </c>
      <c r="C178" s="52" t="s">
        <v>83</v>
      </c>
      <c r="D178" s="201" t="s">
        <v>84</v>
      </c>
      <c r="E178" s="53">
        <v>11</v>
      </c>
      <c r="F178" s="52">
        <v>500</v>
      </c>
      <c r="G178" s="52">
        <v>0.02</v>
      </c>
      <c r="H178" s="52"/>
      <c r="I178" s="52"/>
      <c r="J178" s="49">
        <v>3300</v>
      </c>
      <c r="K178" s="49">
        <v>3300</v>
      </c>
      <c r="L178" s="52">
        <v>9</v>
      </c>
      <c r="M178" s="53">
        <v>6.8</v>
      </c>
      <c r="N178" s="53">
        <v>3.7</v>
      </c>
      <c r="O178" s="52">
        <v>0.88</v>
      </c>
      <c r="P178" s="52">
        <v>0.55000000000000004</v>
      </c>
      <c r="Q178" s="52">
        <v>10000</v>
      </c>
      <c r="R178" s="52">
        <v>1</v>
      </c>
      <c r="S178" s="52">
        <v>120</v>
      </c>
      <c r="T178" s="58"/>
      <c r="U178" s="58"/>
      <c r="V178" s="58"/>
      <c r="W178" s="52"/>
      <c r="X178" s="52"/>
      <c r="Y178" s="52" t="s">
        <v>79</v>
      </c>
      <c r="Z178" s="52" t="s">
        <v>85</v>
      </c>
      <c r="AA178" s="49">
        <v>2000</v>
      </c>
      <c r="AB178" s="77">
        <v>85</v>
      </c>
    </row>
    <row r="179" spans="2:28" x14ac:dyDescent="0.2">
      <c r="B179" s="76" t="s">
        <v>231</v>
      </c>
      <c r="C179" s="52" t="s">
        <v>86</v>
      </c>
      <c r="D179" s="201" t="s">
        <v>87</v>
      </c>
      <c r="E179" s="53">
        <v>5</v>
      </c>
      <c r="F179" s="52">
        <v>500</v>
      </c>
      <c r="G179" s="52">
        <v>1.7999999999999999E-2</v>
      </c>
      <c r="H179" s="52"/>
      <c r="I179" s="52"/>
      <c r="J179" s="49">
        <v>2500</v>
      </c>
      <c r="K179" s="49">
        <v>2500</v>
      </c>
      <c r="L179" s="52">
        <v>9</v>
      </c>
      <c r="M179" s="53">
        <v>6.8</v>
      </c>
      <c r="N179" s="53">
        <v>3.7</v>
      </c>
      <c r="O179" s="52">
        <v>0.88</v>
      </c>
      <c r="P179" s="52">
        <v>0.51</v>
      </c>
      <c r="Q179" s="52">
        <v>12000</v>
      </c>
      <c r="R179" s="52">
        <v>1</v>
      </c>
      <c r="S179" s="52">
        <v>120</v>
      </c>
      <c r="T179" s="58"/>
      <c r="U179" s="58"/>
      <c r="V179" s="58"/>
      <c r="W179" s="52"/>
      <c r="X179" s="52"/>
      <c r="Y179" s="52" t="s">
        <v>88</v>
      </c>
      <c r="Z179" s="52" t="s">
        <v>89</v>
      </c>
      <c r="AA179" s="52">
        <v>2000</v>
      </c>
      <c r="AB179" s="77">
        <v>85</v>
      </c>
    </row>
    <row r="180" spans="2:28" x14ac:dyDescent="0.2">
      <c r="B180" s="76" t="s">
        <v>231</v>
      </c>
      <c r="C180" s="52" t="s">
        <v>90</v>
      </c>
      <c r="D180" s="201" t="s">
        <v>91</v>
      </c>
      <c r="E180" s="53">
        <v>7</v>
      </c>
      <c r="F180" s="52">
        <v>4200</v>
      </c>
      <c r="G180" s="52">
        <v>0.16500000000000001</v>
      </c>
      <c r="H180" s="52"/>
      <c r="I180" s="52"/>
      <c r="J180" s="49">
        <v>3500</v>
      </c>
      <c r="K180" s="49">
        <v>3500</v>
      </c>
      <c r="L180" s="52">
        <v>9</v>
      </c>
      <c r="M180" s="53">
        <v>11</v>
      </c>
      <c r="N180" s="53">
        <v>3.7</v>
      </c>
      <c r="O180" s="52">
        <v>0.9</v>
      </c>
      <c r="P180" s="52">
        <v>0.65</v>
      </c>
      <c r="Q180" s="52">
        <v>4350</v>
      </c>
      <c r="R180" s="52">
        <v>1</v>
      </c>
      <c r="S180" s="52">
        <v>120</v>
      </c>
      <c r="T180" s="58"/>
      <c r="U180" s="58"/>
      <c r="V180" s="58"/>
      <c r="W180" s="52"/>
      <c r="X180" s="52"/>
      <c r="Y180" s="52" t="s">
        <v>92</v>
      </c>
      <c r="Z180" s="52" t="s">
        <v>93</v>
      </c>
      <c r="AA180" s="52">
        <v>2000</v>
      </c>
      <c r="AB180" s="77">
        <v>85</v>
      </c>
    </row>
    <row r="181" spans="2:28" x14ac:dyDescent="0.2">
      <c r="B181" s="76" t="s">
        <v>231</v>
      </c>
      <c r="C181" s="52" t="s">
        <v>94</v>
      </c>
      <c r="D181" s="201" t="s">
        <v>91</v>
      </c>
      <c r="E181" s="53">
        <v>7</v>
      </c>
      <c r="F181" s="52">
        <v>2000</v>
      </c>
      <c r="G181" s="52">
        <v>7.9000000000000001E-2</v>
      </c>
      <c r="H181" s="52"/>
      <c r="I181" s="52"/>
      <c r="J181" s="49">
        <v>3400</v>
      </c>
      <c r="K181" s="49">
        <v>3400</v>
      </c>
      <c r="L181" s="52">
        <v>9</v>
      </c>
      <c r="M181" s="53">
        <v>11</v>
      </c>
      <c r="N181" s="53">
        <v>3.7</v>
      </c>
      <c r="O181" s="52">
        <v>0.9</v>
      </c>
      <c r="P181" s="52">
        <v>0.65</v>
      </c>
      <c r="Q181" s="52">
        <v>4350</v>
      </c>
      <c r="R181" s="52">
        <v>1</v>
      </c>
      <c r="S181" s="52">
        <v>120</v>
      </c>
      <c r="T181" s="58"/>
      <c r="U181" s="58"/>
      <c r="V181" s="58"/>
      <c r="W181" s="52"/>
      <c r="X181" s="52"/>
      <c r="Y181" s="52" t="s">
        <v>92</v>
      </c>
      <c r="Z181" s="52" t="s">
        <v>95</v>
      </c>
      <c r="AA181" s="52">
        <v>2000</v>
      </c>
      <c r="AB181" s="77">
        <v>85</v>
      </c>
    </row>
    <row r="182" spans="2:28" x14ac:dyDescent="0.2">
      <c r="B182" s="76" t="s">
        <v>231</v>
      </c>
      <c r="C182" s="52" t="s">
        <v>96</v>
      </c>
      <c r="D182" s="201" t="s">
        <v>97</v>
      </c>
      <c r="E182" s="53">
        <v>7</v>
      </c>
      <c r="F182" s="52">
        <v>2291</v>
      </c>
      <c r="G182" s="52">
        <v>9.1999999999999998E-2</v>
      </c>
      <c r="H182" s="52"/>
      <c r="I182" s="52"/>
      <c r="J182" s="49">
        <v>3114</v>
      </c>
      <c r="K182" s="49">
        <v>3114</v>
      </c>
      <c r="L182" s="52">
        <v>9</v>
      </c>
      <c r="M182" s="53">
        <v>11</v>
      </c>
      <c r="N182" s="53">
        <v>3.7</v>
      </c>
      <c r="O182" s="52">
        <v>0.9</v>
      </c>
      <c r="P182" s="52">
        <v>0.65</v>
      </c>
      <c r="Q182" s="52">
        <v>10000</v>
      </c>
      <c r="R182" s="52">
        <v>1</v>
      </c>
      <c r="S182" s="52">
        <v>120</v>
      </c>
      <c r="T182" s="58"/>
      <c r="U182" s="58"/>
      <c r="V182" s="58"/>
      <c r="W182" s="52"/>
      <c r="X182" s="52"/>
      <c r="Y182" s="52" t="s">
        <v>98</v>
      </c>
      <c r="Z182" s="52" t="s">
        <v>99</v>
      </c>
      <c r="AA182" s="52">
        <v>2000</v>
      </c>
      <c r="AB182" s="77">
        <v>85</v>
      </c>
    </row>
    <row r="183" spans="2:28" x14ac:dyDescent="0.2">
      <c r="B183" s="76" t="s">
        <v>104</v>
      </c>
      <c r="C183" s="52" t="s">
        <v>105</v>
      </c>
      <c r="D183" s="201" t="s">
        <v>105</v>
      </c>
      <c r="E183" s="53">
        <v>7.33</v>
      </c>
      <c r="F183" s="52">
        <v>50</v>
      </c>
      <c r="G183" s="52">
        <v>5.9999999999999995E-4</v>
      </c>
      <c r="H183" s="52"/>
      <c r="I183" s="52"/>
      <c r="J183" s="49">
        <v>1075</v>
      </c>
      <c r="K183" s="49">
        <v>1075</v>
      </c>
      <c r="L183" s="52">
        <v>6</v>
      </c>
      <c r="M183" s="53"/>
      <c r="N183" s="53"/>
      <c r="O183" s="52"/>
      <c r="P183" s="52"/>
      <c r="Q183" s="52"/>
      <c r="R183" s="52"/>
      <c r="S183" s="52">
        <v>5</v>
      </c>
      <c r="T183" s="58"/>
      <c r="U183" s="58"/>
      <c r="V183" s="58"/>
      <c r="W183" s="52"/>
      <c r="X183" s="52"/>
      <c r="Y183" s="52" t="s">
        <v>106</v>
      </c>
      <c r="Z183" s="49" t="s">
        <v>107</v>
      </c>
      <c r="AA183" s="52">
        <v>2000</v>
      </c>
      <c r="AB183" s="77"/>
    </row>
    <row r="184" spans="2:28" x14ac:dyDescent="0.2">
      <c r="B184" s="76" t="s">
        <v>104</v>
      </c>
      <c r="C184" s="52" t="s">
        <v>108</v>
      </c>
      <c r="D184" s="201" t="s">
        <v>109</v>
      </c>
      <c r="E184" s="53">
        <v>4.74</v>
      </c>
      <c r="F184" s="52">
        <v>100</v>
      </c>
      <c r="G184" s="52">
        <v>2.4E-2</v>
      </c>
      <c r="H184" s="52"/>
      <c r="I184" s="52"/>
      <c r="J184" s="49">
        <v>1350</v>
      </c>
      <c r="K184" s="49">
        <v>1350</v>
      </c>
      <c r="L184" s="52">
        <v>7</v>
      </c>
      <c r="M184" s="53"/>
      <c r="N184" s="53"/>
      <c r="O184" s="52"/>
      <c r="P184" s="52"/>
      <c r="Q184" s="52"/>
      <c r="R184" s="52"/>
      <c r="S184" s="52">
        <v>5</v>
      </c>
      <c r="T184" s="58">
        <v>15600</v>
      </c>
      <c r="U184" s="58"/>
      <c r="V184" s="58">
        <v>20000000</v>
      </c>
      <c r="W184" s="52">
        <v>12.1</v>
      </c>
      <c r="X184" s="52">
        <v>28.7</v>
      </c>
      <c r="Y184" s="52" t="s">
        <v>110</v>
      </c>
      <c r="Z184" s="49" t="s">
        <v>76</v>
      </c>
      <c r="AA184" s="52">
        <v>2000</v>
      </c>
      <c r="AB184" s="77"/>
    </row>
    <row r="185" spans="2:28" ht="13.5" thickBot="1" x14ac:dyDescent="0.25">
      <c r="B185" s="78" t="s">
        <v>337</v>
      </c>
      <c r="C185" s="66" t="s">
        <v>338</v>
      </c>
      <c r="D185" s="202" t="s">
        <v>339</v>
      </c>
      <c r="E185" s="68">
        <v>15.9</v>
      </c>
      <c r="F185" s="66">
        <v>4500</v>
      </c>
      <c r="G185" s="66">
        <v>0.16500000000000001</v>
      </c>
      <c r="H185" s="79"/>
      <c r="I185" s="79"/>
      <c r="J185" s="63">
        <v>3500</v>
      </c>
      <c r="K185" s="79"/>
      <c r="L185" s="79"/>
      <c r="M185" s="79"/>
      <c r="N185" s="79"/>
      <c r="O185" s="79"/>
      <c r="P185" s="79"/>
      <c r="Q185" s="79"/>
      <c r="R185" s="79"/>
      <c r="S185" s="79"/>
      <c r="T185" s="79"/>
      <c r="U185" s="79"/>
      <c r="V185" s="79"/>
      <c r="W185" s="79"/>
      <c r="X185" s="79"/>
      <c r="Y185" s="79"/>
      <c r="Z185" s="79"/>
      <c r="AA185" s="79"/>
      <c r="AB185" s="80"/>
    </row>
    <row r="187" spans="2:28" ht="21" thickBot="1" x14ac:dyDescent="0.35">
      <c r="B187" s="21" t="s">
        <v>396</v>
      </c>
    </row>
    <row r="188" spans="2:28" ht="51" x14ac:dyDescent="0.2">
      <c r="B188" s="222" t="s">
        <v>346</v>
      </c>
      <c r="C188" s="222" t="s">
        <v>347</v>
      </c>
      <c r="D188" s="222" t="s">
        <v>398</v>
      </c>
      <c r="E188" s="222" t="s">
        <v>397</v>
      </c>
      <c r="F188" s="222" t="s">
        <v>348</v>
      </c>
      <c r="G188" s="222" t="s">
        <v>349</v>
      </c>
      <c r="H188" s="222" t="s">
        <v>350</v>
      </c>
      <c r="I188" s="222" t="s">
        <v>19</v>
      </c>
      <c r="J188" s="222"/>
    </row>
    <row r="189" spans="2:28" x14ac:dyDescent="0.2">
      <c r="B189" s="81" t="s">
        <v>501</v>
      </c>
      <c r="C189" s="82">
        <v>2700</v>
      </c>
      <c r="D189" s="82">
        <v>68</v>
      </c>
      <c r="E189" s="82">
        <v>276</v>
      </c>
      <c r="F189" s="82">
        <v>23.6</v>
      </c>
      <c r="G189" s="82">
        <v>186</v>
      </c>
      <c r="H189" s="82">
        <v>97</v>
      </c>
      <c r="I189" s="229" t="s">
        <v>351</v>
      </c>
      <c r="J189" s="230"/>
    </row>
    <row r="190" spans="2:28" x14ac:dyDescent="0.2">
      <c r="B190" s="81" t="s">
        <v>502</v>
      </c>
      <c r="C190" s="82">
        <v>2800</v>
      </c>
      <c r="D190" s="82">
        <v>71</v>
      </c>
      <c r="E190" s="82">
        <v>503</v>
      </c>
      <c r="F190" s="82">
        <v>23.4</v>
      </c>
      <c r="G190" s="82">
        <v>24</v>
      </c>
      <c r="H190" s="82">
        <v>159</v>
      </c>
      <c r="I190" s="229" t="s">
        <v>352</v>
      </c>
      <c r="J190" s="230"/>
    </row>
    <row r="191" spans="2:28" x14ac:dyDescent="0.2">
      <c r="B191" s="81" t="s">
        <v>353</v>
      </c>
      <c r="C191" s="82">
        <v>1700</v>
      </c>
      <c r="D191" s="82">
        <v>45</v>
      </c>
      <c r="E191" s="82">
        <v>220</v>
      </c>
      <c r="F191" s="82">
        <v>26</v>
      </c>
      <c r="G191" s="82"/>
      <c r="H191" s="82"/>
      <c r="I191" s="229" t="s">
        <v>354</v>
      </c>
      <c r="J191" s="230"/>
    </row>
    <row r="192" spans="2:28" x14ac:dyDescent="0.2">
      <c r="B192" s="81" t="s">
        <v>355</v>
      </c>
      <c r="C192" s="82">
        <v>1700</v>
      </c>
      <c r="D192" s="82">
        <v>45</v>
      </c>
      <c r="E192" s="82">
        <v>234</v>
      </c>
      <c r="F192" s="82">
        <v>26</v>
      </c>
      <c r="G192" s="82"/>
      <c r="H192" s="82">
        <v>124</v>
      </c>
      <c r="I192" s="229"/>
      <c r="J192" s="230"/>
    </row>
    <row r="193" spans="2:10" x14ac:dyDescent="0.2">
      <c r="B193" s="81" t="s">
        <v>356</v>
      </c>
      <c r="C193" s="82">
        <v>4400</v>
      </c>
      <c r="D193" s="82">
        <v>110</v>
      </c>
      <c r="E193" s="82">
        <v>825</v>
      </c>
      <c r="F193" s="82">
        <v>9</v>
      </c>
      <c r="G193" s="82">
        <v>75</v>
      </c>
      <c r="H193" s="82">
        <v>500</v>
      </c>
      <c r="I193" s="229"/>
      <c r="J193" s="230"/>
    </row>
    <row r="194" spans="2:10" x14ac:dyDescent="0.2">
      <c r="B194" s="81" t="s">
        <v>357</v>
      </c>
      <c r="C194" s="82">
        <v>2000</v>
      </c>
      <c r="D194" s="82">
        <v>304</v>
      </c>
      <c r="E194" s="82">
        <v>207</v>
      </c>
      <c r="F194" s="82">
        <v>11.5</v>
      </c>
      <c r="G194" s="82"/>
      <c r="H194" s="82"/>
      <c r="I194" s="229"/>
      <c r="J194" s="230"/>
    </row>
    <row r="195" spans="2:10" x14ac:dyDescent="0.2">
      <c r="B195" s="81" t="s">
        <v>358</v>
      </c>
      <c r="C195" s="82">
        <v>2000</v>
      </c>
      <c r="D195" s="82">
        <v>304</v>
      </c>
      <c r="E195" s="82">
        <v>345</v>
      </c>
      <c r="F195" s="82">
        <v>11.5</v>
      </c>
      <c r="G195" s="82"/>
      <c r="H195" s="82"/>
      <c r="I195" s="229"/>
      <c r="J195" s="230"/>
    </row>
    <row r="196" spans="2:10" x14ac:dyDescent="0.2">
      <c r="B196" s="81" t="s">
        <v>359</v>
      </c>
      <c r="C196" s="82">
        <v>7700</v>
      </c>
      <c r="D196" s="82">
        <v>200</v>
      </c>
      <c r="E196" s="82">
        <v>1034</v>
      </c>
      <c r="F196" s="82">
        <v>11.9</v>
      </c>
      <c r="G196" s="83" t="s">
        <v>360</v>
      </c>
      <c r="H196" s="82">
        <v>550</v>
      </c>
      <c r="I196" s="229" t="s">
        <v>361</v>
      </c>
      <c r="J196" s="230"/>
    </row>
    <row r="197" spans="2:10" x14ac:dyDescent="0.2">
      <c r="B197" s="81" t="s">
        <v>362</v>
      </c>
      <c r="C197" s="82">
        <v>7800</v>
      </c>
      <c r="D197" s="82">
        <v>193</v>
      </c>
      <c r="E197" s="82">
        <v>170</v>
      </c>
      <c r="F197" s="82">
        <v>17.2</v>
      </c>
      <c r="G197" s="83" t="s">
        <v>360</v>
      </c>
      <c r="H197" s="82"/>
      <c r="I197" s="229" t="s">
        <v>363</v>
      </c>
      <c r="J197" s="230"/>
    </row>
    <row r="198" spans="2:10" x14ac:dyDescent="0.2">
      <c r="B198" s="81" t="s">
        <v>364</v>
      </c>
      <c r="C198" s="82">
        <v>1380</v>
      </c>
      <c r="D198" s="82">
        <v>76</v>
      </c>
      <c r="E198" s="82">
        <v>1379</v>
      </c>
      <c r="F198" s="82">
        <v>-4</v>
      </c>
      <c r="G198" s="82"/>
      <c r="H198" s="82"/>
      <c r="I198" s="229" t="s">
        <v>365</v>
      </c>
      <c r="J198" s="230"/>
    </row>
    <row r="199" spans="2:10" x14ac:dyDescent="0.2">
      <c r="B199" s="81" t="s">
        <v>366</v>
      </c>
      <c r="C199" s="82">
        <v>1380</v>
      </c>
      <c r="D199" s="82">
        <v>5.5</v>
      </c>
      <c r="E199" s="82">
        <v>29.6</v>
      </c>
      <c r="F199" s="82">
        <v>57</v>
      </c>
      <c r="G199" s="82"/>
      <c r="H199" s="82"/>
      <c r="I199" s="229" t="s">
        <v>367</v>
      </c>
      <c r="J199" s="230"/>
    </row>
    <row r="200" spans="2:10" ht="13.5" thickBot="1" x14ac:dyDescent="0.25">
      <c r="B200" s="84" t="s">
        <v>368</v>
      </c>
      <c r="C200" s="85">
        <v>1620</v>
      </c>
      <c r="D200" s="85">
        <v>282</v>
      </c>
      <c r="E200" s="85">
        <v>586</v>
      </c>
      <c r="F200" s="86" t="s">
        <v>369</v>
      </c>
      <c r="G200" s="85"/>
      <c r="H200" s="85"/>
      <c r="I200" s="239" t="s">
        <v>370</v>
      </c>
      <c r="J200" s="240"/>
    </row>
  </sheetData>
  <mergeCells count="17">
    <mergeCell ref="I196:J196"/>
    <mergeCell ref="I197:J197"/>
    <mergeCell ref="I198:J198"/>
    <mergeCell ref="I199:J199"/>
    <mergeCell ref="I200:J200"/>
    <mergeCell ref="I195:J195"/>
    <mergeCell ref="I75:N75"/>
    <mergeCell ref="I76:N76"/>
    <mergeCell ref="I77:N77"/>
    <mergeCell ref="I78:N78"/>
    <mergeCell ref="I79:N79"/>
    <mergeCell ref="I189:J189"/>
    <mergeCell ref="I190:J190"/>
    <mergeCell ref="I191:J191"/>
    <mergeCell ref="I192:J192"/>
    <mergeCell ref="I193:J193"/>
    <mergeCell ref="I194:J194"/>
  </mergeCells>
  <pageMargins left="0.75" right="0.75" top="1" bottom="1" header="0.5" footer="0.5"/>
  <pageSetup orientation="portrait" horizontalDpi="12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649" r:id="rId4" name="Drop Down 1">
              <controlPr defaultSize="0" autoLine="0" autoPict="0">
                <anchor moveWithCells="1">
                  <from>
                    <xdr:col>2</xdr:col>
                    <xdr:colOff>28575</xdr:colOff>
                    <xdr:row>13</xdr:row>
                    <xdr:rowOff>0</xdr:rowOff>
                  </from>
                  <to>
                    <xdr:col>2</xdr:col>
                    <xdr:colOff>1133475</xdr:colOff>
                    <xdr:row>14</xdr:row>
                    <xdr:rowOff>9525</xdr:rowOff>
                  </to>
                </anchor>
              </controlPr>
            </control>
          </mc:Choice>
        </mc:AlternateContent>
        <mc:AlternateContent xmlns:mc="http://schemas.openxmlformats.org/markup-compatibility/2006">
          <mc:Choice Requires="x14">
            <control shapeId="27650" r:id="rId5" name="Drop Down 2">
              <controlPr defaultSize="0" autoLine="0" autoPict="0">
                <anchor moveWithCells="1">
                  <from>
                    <xdr:col>6</xdr:col>
                    <xdr:colOff>9525</xdr:colOff>
                    <xdr:row>16</xdr:row>
                    <xdr:rowOff>9525</xdr:rowOff>
                  </from>
                  <to>
                    <xdr:col>6</xdr:col>
                    <xdr:colOff>1866900</xdr:colOff>
                    <xdr:row>17</xdr:row>
                    <xdr:rowOff>28575</xdr:rowOff>
                  </to>
                </anchor>
              </controlPr>
            </control>
          </mc:Choice>
        </mc:AlternateContent>
        <mc:AlternateContent xmlns:mc="http://schemas.openxmlformats.org/markup-compatibility/2006">
          <mc:Choice Requires="x14">
            <control shapeId="27651" r:id="rId6" name="Drop Down 3">
              <controlPr defaultSize="0" autoLine="0" autoPict="0">
                <anchor moveWithCells="1">
                  <from>
                    <xdr:col>1</xdr:col>
                    <xdr:colOff>2095500</xdr:colOff>
                    <xdr:row>29</xdr:row>
                    <xdr:rowOff>190500</xdr:rowOff>
                  </from>
                  <to>
                    <xdr:col>2</xdr:col>
                    <xdr:colOff>1133475</xdr:colOff>
                    <xdr:row>30</xdr:row>
                    <xdr:rowOff>180975</xdr:rowOff>
                  </to>
                </anchor>
              </controlPr>
            </control>
          </mc:Choice>
        </mc:AlternateContent>
        <mc:AlternateContent xmlns:mc="http://schemas.openxmlformats.org/markup-compatibility/2006">
          <mc:Choice Requires="x14">
            <control shapeId="27652" r:id="rId7" name="Drop Down 4">
              <controlPr defaultSize="0" autoLine="0" autoPict="0">
                <anchor moveWithCells="1">
                  <from>
                    <xdr:col>1</xdr:col>
                    <xdr:colOff>9525</xdr:colOff>
                    <xdr:row>59</xdr:row>
                    <xdr:rowOff>0</xdr:rowOff>
                  </from>
                  <to>
                    <xdr:col>1</xdr:col>
                    <xdr:colOff>1990725</xdr:colOff>
                    <xdr:row>60</xdr:row>
                    <xdr:rowOff>0</xdr:rowOff>
                  </to>
                </anchor>
              </controlPr>
            </control>
          </mc:Choice>
        </mc:AlternateContent>
        <mc:AlternateContent xmlns:mc="http://schemas.openxmlformats.org/markup-compatibility/2006">
          <mc:Choice Requires="x14">
            <control shapeId="27653" r:id="rId8" name="Button 5">
              <controlPr defaultSize="0" print="0" autoFill="0" autoPict="0" macro="[0]!SpiralObitGoalSeek">
                <anchor moveWithCells="1" sizeWithCells="1">
                  <from>
                    <xdr:col>16</xdr:col>
                    <xdr:colOff>76200</xdr:colOff>
                    <xdr:row>20</xdr:row>
                    <xdr:rowOff>0</xdr:rowOff>
                  </from>
                  <to>
                    <xdr:col>17</xdr:col>
                    <xdr:colOff>533400</xdr:colOff>
                    <xdr:row>21</xdr:row>
                    <xdr:rowOff>190500</xdr:rowOff>
                  </to>
                </anchor>
              </controlPr>
            </control>
          </mc:Choice>
        </mc:AlternateContent>
        <mc:AlternateContent xmlns:mc="http://schemas.openxmlformats.org/markup-compatibility/2006">
          <mc:Choice Requires="x14">
            <control shapeId="27654" r:id="rId9" name="Button 6">
              <controlPr defaultSize="0" print="0" autoFill="0" autoPict="0" macro="[0]!ElectricPropulsionTable">
                <anchor moveWithCells="1">
                  <from>
                    <xdr:col>6</xdr:col>
                    <xdr:colOff>457200</xdr:colOff>
                    <xdr:row>33</xdr:row>
                    <xdr:rowOff>9525</xdr:rowOff>
                  </from>
                  <to>
                    <xdr:col>6</xdr:col>
                    <xdr:colOff>1819275</xdr:colOff>
                    <xdr:row>34</xdr:row>
                    <xdr:rowOff>114300</xdr:rowOff>
                  </to>
                </anchor>
              </controlPr>
            </control>
          </mc:Choice>
        </mc:AlternateContent>
        <mc:AlternateContent xmlns:mc="http://schemas.openxmlformats.org/markup-compatibility/2006">
          <mc:Choice Requires="x14">
            <control shapeId="27655" r:id="rId10" name="Button 7">
              <controlPr defaultSize="0" print="0" autoFill="0" autoPict="0" macro="[0]!ElectricPropulsionTable2">
                <anchor moveWithCells="1">
                  <from>
                    <xdr:col>12</xdr:col>
                    <xdr:colOff>695325</xdr:colOff>
                    <xdr:row>33</xdr:row>
                    <xdr:rowOff>19050</xdr:rowOff>
                  </from>
                  <to>
                    <xdr:col>13</xdr:col>
                    <xdr:colOff>504825</xdr:colOff>
                    <xdr:row>34</xdr:row>
                    <xdr:rowOff>123825</xdr:rowOff>
                  </to>
                </anchor>
              </controlPr>
            </control>
          </mc:Choice>
        </mc:AlternateContent>
        <mc:AlternateContent xmlns:mc="http://schemas.openxmlformats.org/markup-compatibility/2006">
          <mc:Choice Requires="x14">
            <control shapeId="27656" r:id="rId11" name="Button 8">
              <controlPr defaultSize="0" print="0" autoFill="0" autoPict="0" macro="[0]!Test">
                <anchor moveWithCells="1">
                  <from>
                    <xdr:col>19</xdr:col>
                    <xdr:colOff>714375</xdr:colOff>
                    <xdr:row>31</xdr:row>
                    <xdr:rowOff>28575</xdr:rowOff>
                  </from>
                  <to>
                    <xdr:col>21</xdr:col>
                    <xdr:colOff>0</xdr:colOff>
                    <xdr:row>33</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G21"/>
  <sheetViews>
    <sheetView tabSelected="1" workbookViewId="0">
      <selection activeCell="B32" sqref="B32"/>
    </sheetView>
  </sheetViews>
  <sheetFormatPr defaultRowHeight="12.75" x14ac:dyDescent="0.2"/>
  <cols>
    <col min="1" max="1" width="45.85546875" customWidth="1"/>
    <col min="2" max="2" width="11" customWidth="1"/>
  </cols>
  <sheetData>
    <row r="2" spans="1:7" ht="21" thickBot="1" x14ac:dyDescent="0.35">
      <c r="A2" s="21" t="s">
        <v>560</v>
      </c>
    </row>
    <row r="3" spans="1:7" x14ac:dyDescent="0.2">
      <c r="A3" s="15" t="s">
        <v>561</v>
      </c>
      <c r="B3" s="14" t="s">
        <v>3</v>
      </c>
    </row>
    <row r="4" spans="1:7" ht="13.5" thickBot="1" x14ac:dyDescent="0.25">
      <c r="A4" s="223" t="s">
        <v>562</v>
      </c>
      <c r="B4" s="129" t="s">
        <v>267</v>
      </c>
    </row>
    <row r="5" spans="1:7" x14ac:dyDescent="0.2">
      <c r="A5" s="223" t="s">
        <v>563</v>
      </c>
      <c r="B5" s="224">
        <v>1</v>
      </c>
    </row>
    <row r="6" spans="1:7" x14ac:dyDescent="0.2">
      <c r="A6" s="223" t="s">
        <v>564</v>
      </c>
      <c r="B6" s="224" t="s">
        <v>91</v>
      </c>
    </row>
    <row r="7" spans="1:7" x14ac:dyDescent="0.2">
      <c r="A7" s="223" t="s">
        <v>565</v>
      </c>
      <c r="B7" s="224">
        <v>1</v>
      </c>
    </row>
    <row r="8" spans="1:7" x14ac:dyDescent="0.2">
      <c r="A8" s="223" t="s">
        <v>566</v>
      </c>
      <c r="B8" s="224">
        <v>161.19999999999999</v>
      </c>
    </row>
    <row r="9" spans="1:7" x14ac:dyDescent="0.2">
      <c r="A9" s="223" t="s">
        <v>567</v>
      </c>
      <c r="B9" s="224">
        <v>31.86</v>
      </c>
    </row>
    <row r="10" spans="1:7" x14ac:dyDescent="0.2">
      <c r="A10" s="223" t="s">
        <v>568</v>
      </c>
      <c r="B10" s="224">
        <v>272.5</v>
      </c>
    </row>
    <row r="11" spans="1:7" x14ac:dyDescent="0.2">
      <c r="A11" s="223" t="s">
        <v>569</v>
      </c>
      <c r="B11" s="224">
        <v>135.86000000000001</v>
      </c>
    </row>
    <row r="12" spans="1:7" x14ac:dyDescent="0.2">
      <c r="A12" s="223" t="s">
        <v>570</v>
      </c>
      <c r="B12" s="224"/>
    </row>
    <row r="13" spans="1:7" x14ac:dyDescent="0.2">
      <c r="A13" s="223" t="s">
        <v>571</v>
      </c>
      <c r="B13" s="224"/>
    </row>
    <row r="14" spans="1:7" ht="40.5" customHeight="1" x14ac:dyDescent="0.2">
      <c r="A14" s="225" t="s">
        <v>572</v>
      </c>
      <c r="B14" s="241" t="s">
        <v>579</v>
      </c>
      <c r="C14" s="241"/>
      <c r="D14" s="241"/>
      <c r="E14" s="241"/>
      <c r="F14" s="241"/>
      <c r="G14" s="241"/>
    </row>
    <row r="17" spans="1:6" ht="21" thickBot="1" x14ac:dyDescent="0.35">
      <c r="A17" s="21" t="s">
        <v>573</v>
      </c>
    </row>
    <row r="18" spans="1:6" x14ac:dyDescent="0.2">
      <c r="A18" s="15" t="s">
        <v>561</v>
      </c>
      <c r="B18" s="14" t="s">
        <v>3</v>
      </c>
    </row>
    <row r="19" spans="1:6" x14ac:dyDescent="0.2">
      <c r="A19" s="223" t="s">
        <v>574</v>
      </c>
      <c r="B19" s="226"/>
      <c r="C19" s="226"/>
      <c r="E19" s="227" t="s">
        <v>575</v>
      </c>
      <c r="F19" s="228"/>
    </row>
    <row r="20" spans="1:6" x14ac:dyDescent="0.2">
      <c r="A20" s="223" t="s">
        <v>576</v>
      </c>
      <c r="B20" s="224"/>
      <c r="E20" s="227" t="s">
        <v>577</v>
      </c>
      <c r="F20" s="228"/>
    </row>
    <row r="21" spans="1:6" x14ac:dyDescent="0.2">
      <c r="A21" s="223" t="s">
        <v>578</v>
      </c>
      <c r="B21" s="224"/>
      <c r="E21" s="228"/>
      <c r="F21" s="228"/>
    </row>
  </sheetData>
  <mergeCells count="1">
    <mergeCell ref="B14:G14"/>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Title</vt:lpstr>
      <vt:lpstr>Propulsion example</vt:lpstr>
      <vt:lpstr>Propulsion Blank</vt:lpstr>
      <vt:lpstr>Answers</vt:lpstr>
    </vt:vector>
  </TitlesOfParts>
  <Company>The Aerospace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RJ27075</dc:creator>
  <cp:lastModifiedBy>CSE</cp:lastModifiedBy>
  <dcterms:created xsi:type="dcterms:W3CDTF">2005-06-15T22:23:53Z</dcterms:created>
  <dcterms:modified xsi:type="dcterms:W3CDTF">2017-11-07T04:43:52Z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urrent_Mass" linkTarget="PROP_Current_Mass">
    <vt:lpwstr>#REF!</vt:lpwstr>
  </property>
  <property fmtid="{D5CDD505-2E9C-101B-9397-08002B2CF9AE}" pid="3" name="g0" linkTarget="PROP_g0">
    <vt:lpwstr>#REF!</vt:lpwstr>
  </property>
  <property fmtid="{D5CDD505-2E9C-101B-9397-08002B2CF9AE}" pid="4" name="Grav_Const" linkTarget="PROP_Grav_Const">
    <vt:lpwstr>#REF!</vt:lpwstr>
  </property>
  <property fmtid="{D5CDD505-2E9C-101B-9397-08002B2CF9AE}" pid="5" name="Iteration" linkTarget="PROP_Iteration">
    <vt:lpwstr>#REF!</vt:lpwstr>
  </property>
  <property fmtid="{D5CDD505-2E9C-101B-9397-08002B2CF9AE}" pid="6" name="List_Output" linkTarget="PROP_List_Output">
    <vt:lpwstr>#REF!</vt:lpwstr>
  </property>
  <property fmtid="{D5CDD505-2E9C-101B-9397-08002B2CF9AE}" pid="7" name="List_Previous" linkTarget="PROP_List_Previous">
    <vt:lpwstr>#REF!</vt:lpwstr>
  </property>
  <property fmtid="{D5CDD505-2E9C-101B-9397-08002B2CF9AE}" pid="8" name="List_Stored" linkTarget="PROP_List_Stored">
    <vt:lpwstr>#REF!</vt:lpwstr>
  </property>
  <property fmtid="{D5CDD505-2E9C-101B-9397-08002B2CF9AE}" pid="9" name="Planet_Radius" linkTarget="PROP_Planet_Radius">
    <vt:lpwstr>#REF!</vt:lpwstr>
  </property>
  <property fmtid="{D5CDD505-2E9C-101B-9397-08002B2CF9AE}" pid="10" name="Seed_Mass" linkTarget="PROP_Seed_Mass">
    <vt:lpwstr>#REF!</vt:lpwstr>
  </property>
  <property fmtid="{D5CDD505-2E9C-101B-9397-08002B2CF9AE}" pid="11" name="g" linkTarget="PROP_g">
    <vt:lpwstr/>
  </property>
  <property fmtid="{D5CDD505-2E9C-101B-9397-08002B2CF9AE}" pid="12" name="E28" linkTarget="Prop_E28">
    <vt:lpwstr/>
  </property>
  <property fmtid="{D5CDD505-2E9C-101B-9397-08002B2CF9AE}" pid="13" name="J90" linkTarget="Prop_J90">
    <vt:lpwstr/>
  </property>
  <property fmtid="{D5CDD505-2E9C-101B-9397-08002B2CF9AE}" pid="14" name="SE28" linkTarget="Prop_SE28">
    <vt:lpwstr/>
  </property>
  <property fmtid="{D5CDD505-2E9C-101B-9397-08002B2CF9AE}" pid="15" name="SJ90" linkTarget="Prop_SJ90">
    <vt:lpwstr/>
  </property>
  <property fmtid="{D5CDD505-2E9C-101B-9397-08002B2CF9AE}" pid="16" name="SMADE28" linkTarget="Prop_SMADE28">
    <vt:lpwstr/>
  </property>
  <property fmtid="{D5CDD505-2E9C-101B-9397-08002B2CF9AE}" pid="17" name="SMADJ90" linkTarget="Prop_SMADJ90">
    <vt:lpwstr/>
  </property>
  <property fmtid="{D5CDD505-2E9C-101B-9397-08002B2CF9AE}" pid="18" name="SMAE28" linkTarget="Prop_SMAE28">
    <vt:lpwstr/>
  </property>
  <property fmtid="{D5CDD505-2E9C-101B-9397-08002B2CF9AE}" pid="19" name="SMAJ90" linkTarget="Prop_SMAJ90">
    <vt:lpwstr/>
  </property>
  <property fmtid="{D5CDD505-2E9C-101B-9397-08002B2CF9AE}" pid="20" name="SME28" linkTarget="Prop_SME28">
    <vt:lpwstr/>
  </property>
  <property fmtid="{D5CDD505-2E9C-101B-9397-08002B2CF9AE}" pid="21" name="SMJ90" linkTarget="Prop_SMJ90">
    <vt:lpwstr/>
  </property>
</Properties>
</file>