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Nathan Tipton\Google Drive\Spring 2017\Space Systems Engineering\"/>
    </mc:Choice>
  </mc:AlternateContent>
  <bookViews>
    <workbookView xWindow="0" yWindow="0" windowWidth="19200" windowHeight="9510" activeTab="2"/>
  </bookViews>
  <sheets>
    <sheet name="DOD" sheetId="2" r:id="rId1"/>
    <sheet name="Power Example" sheetId="7" r:id="rId2"/>
    <sheet name="Power Blank" sheetId="8" r:id="rId3"/>
    <sheet name="Sheet1" sheetId="9" r:id="rId4"/>
  </sheets>
  <calcPr calcId="162913"/>
</workbook>
</file>

<file path=xl/calcChain.xml><?xml version="1.0" encoding="utf-8"?>
<calcChain xmlns="http://schemas.openxmlformats.org/spreadsheetml/2006/main">
  <c r="I37" i="8" l="1"/>
  <c r="I20" i="8"/>
  <c r="I19" i="8"/>
  <c r="I18" i="8"/>
  <c r="I17" i="8"/>
  <c r="I16" i="8"/>
  <c r="I15" i="8"/>
  <c r="I14" i="8"/>
  <c r="I13" i="8"/>
  <c r="N21" i="8"/>
  <c r="N20" i="8"/>
  <c r="N19" i="8"/>
  <c r="N18" i="8"/>
  <c r="N17" i="8"/>
  <c r="N16" i="8"/>
  <c r="N15" i="8"/>
  <c r="N14" i="8"/>
  <c r="N13" i="8"/>
  <c r="W70" i="8"/>
  <c r="Z70" i="8"/>
  <c r="L70" i="8"/>
  <c r="O70" i="8"/>
  <c r="N70" i="8"/>
  <c r="M70" i="8"/>
  <c r="T98" i="8"/>
  <c r="Q98" i="8"/>
  <c r="O98" i="8"/>
  <c r="N98" i="8"/>
  <c r="I98" i="8"/>
  <c r="H98" i="8"/>
  <c r="I32" i="8" l="1"/>
  <c r="N31" i="8" l="1"/>
  <c r="I30" i="8"/>
  <c r="I28" i="8" l="1"/>
  <c r="I29" i="8"/>
  <c r="N33" i="8"/>
  <c r="N32" i="8"/>
  <c r="Q97" i="8"/>
  <c r="O97" i="8"/>
  <c r="I97" i="8"/>
  <c r="Q96" i="8"/>
  <c r="O96" i="8"/>
  <c r="I96" i="8" s="1"/>
  <c r="Q95" i="8"/>
  <c r="O95" i="8"/>
  <c r="I95" i="8" s="1"/>
  <c r="Q94" i="8"/>
  <c r="O94" i="8"/>
  <c r="I94" i="8" s="1"/>
  <c r="Q93" i="8"/>
  <c r="O93" i="8"/>
  <c r="I93" i="8"/>
  <c r="Q92" i="8"/>
  <c r="O92" i="8"/>
  <c r="I92" i="8" s="1"/>
  <c r="R91" i="8"/>
  <c r="S91" i="8" s="1"/>
  <c r="I91" i="8" s="1"/>
  <c r="R90" i="8"/>
  <c r="S90" i="8" s="1"/>
  <c r="R89" i="8"/>
  <c r="S89" i="8" s="1"/>
  <c r="O89" i="8"/>
  <c r="Q88" i="8"/>
  <c r="I88" i="8"/>
  <c r="R87" i="8"/>
  <c r="S87" i="8" s="1"/>
  <c r="R86" i="8"/>
  <c r="S86" i="8" s="1"/>
  <c r="R85" i="8"/>
  <c r="S85" i="8" s="1"/>
  <c r="I85" i="8" s="1"/>
  <c r="T84" i="8"/>
  <c r="R84" i="8"/>
  <c r="S84" i="8" s="1"/>
  <c r="O84" i="8"/>
  <c r="H84" i="8" s="1"/>
  <c r="T83" i="8"/>
  <c r="R83" i="8"/>
  <c r="S83" i="8" s="1"/>
  <c r="O83" i="8"/>
  <c r="T82" i="8"/>
  <c r="R82" i="8"/>
  <c r="S82" i="8" s="1"/>
  <c r="O82" i="8"/>
  <c r="H82" i="8" s="1"/>
  <c r="I81" i="8"/>
  <c r="I80" i="8"/>
  <c r="H80" i="8"/>
  <c r="I79" i="8"/>
  <c r="H79" i="8"/>
  <c r="I78" i="8"/>
  <c r="H78" i="8"/>
  <c r="Z69" i="8"/>
  <c r="N69" i="8"/>
  <c r="O69" i="8" s="1"/>
  <c r="M69" i="8"/>
  <c r="L69" i="8"/>
  <c r="Z68" i="8"/>
  <c r="O68" i="8"/>
  <c r="N68" i="8"/>
  <c r="M68" i="8"/>
  <c r="L68" i="8"/>
  <c r="Z67" i="8"/>
  <c r="N67" i="8"/>
  <c r="O67" i="8" s="1"/>
  <c r="M67" i="8"/>
  <c r="L67" i="8"/>
  <c r="Z66" i="8"/>
  <c r="N66" i="8"/>
  <c r="O66" i="8" s="1"/>
  <c r="M66" i="8"/>
  <c r="L66" i="8"/>
  <c r="Z65" i="8"/>
  <c r="N65" i="8"/>
  <c r="O65" i="8" s="1"/>
  <c r="M65" i="8"/>
  <c r="L65" i="8"/>
  <c r="Z64" i="8"/>
  <c r="N64" i="8"/>
  <c r="O64" i="8" s="1"/>
  <c r="M64" i="8"/>
  <c r="L64" i="8"/>
  <c r="Z63" i="8"/>
  <c r="N63" i="8"/>
  <c r="O63" i="8" s="1"/>
  <c r="M63" i="8"/>
  <c r="L63" i="8"/>
  <c r="Z62" i="8"/>
  <c r="N62" i="8"/>
  <c r="O62" i="8" s="1"/>
  <c r="M62" i="8"/>
  <c r="L62" i="8"/>
  <c r="Z61" i="8"/>
  <c r="N61" i="8"/>
  <c r="O61" i="8" s="1"/>
  <c r="M61" i="8"/>
  <c r="L61" i="8"/>
  <c r="Z60" i="8"/>
  <c r="N60" i="8"/>
  <c r="O60" i="8" s="1"/>
  <c r="M60" i="8"/>
  <c r="L60" i="8"/>
  <c r="Z59" i="8"/>
  <c r="N59" i="8"/>
  <c r="O59" i="8" s="1"/>
  <c r="M59" i="8"/>
  <c r="L59" i="8"/>
  <c r="Z58" i="8"/>
  <c r="O58" i="8"/>
  <c r="N58" i="8"/>
  <c r="M58" i="8"/>
  <c r="L58" i="8"/>
  <c r="Z57" i="8"/>
  <c r="N57" i="8"/>
  <c r="O57" i="8" s="1"/>
  <c r="M57" i="8"/>
  <c r="L57" i="8"/>
  <c r="Z56" i="8"/>
  <c r="N56" i="8"/>
  <c r="O56" i="8" s="1"/>
  <c r="M56" i="8"/>
  <c r="L56" i="8"/>
  <c r="Z55" i="8"/>
  <c r="N55" i="8"/>
  <c r="O55" i="8" s="1"/>
  <c r="M55" i="8"/>
  <c r="L55" i="8"/>
  <c r="Z54" i="8"/>
  <c r="O54" i="8"/>
  <c r="N54" i="8"/>
  <c r="M54" i="8"/>
  <c r="L54" i="8"/>
  <c r="Z53" i="8"/>
  <c r="N53" i="8"/>
  <c r="O53" i="8" s="1"/>
  <c r="M53" i="8"/>
  <c r="L53" i="8"/>
  <c r="Z52" i="8"/>
  <c r="N52" i="8"/>
  <c r="O52" i="8" s="1"/>
  <c r="M52" i="8"/>
  <c r="L52" i="8"/>
  <c r="D25" i="8"/>
  <c r="D23" i="8"/>
  <c r="Q96" i="7"/>
  <c r="O96" i="7"/>
  <c r="I96" i="7"/>
  <c r="Q95" i="7"/>
  <c r="O95" i="7"/>
  <c r="I95" i="7"/>
  <c r="Q94" i="7"/>
  <c r="O94" i="7"/>
  <c r="I94" i="7" s="1"/>
  <c r="Q93" i="7"/>
  <c r="O93" i="7"/>
  <c r="I93" i="7"/>
  <c r="Q92" i="7"/>
  <c r="O92" i="7"/>
  <c r="I92" i="7" s="1"/>
  <c r="Q91" i="7"/>
  <c r="O91" i="7"/>
  <c r="I91" i="7"/>
  <c r="R90" i="7"/>
  <c r="S90" i="7" s="1"/>
  <c r="R89" i="7"/>
  <c r="S89" i="7" s="1"/>
  <c r="I89" i="7" s="1"/>
  <c r="R88" i="7"/>
  <c r="S88" i="7" s="1"/>
  <c r="O88" i="7"/>
  <c r="Q87" i="7"/>
  <c r="I87" i="7"/>
  <c r="R86" i="7"/>
  <c r="S86" i="7" s="1"/>
  <c r="R85" i="7"/>
  <c r="S85" i="7" s="1"/>
  <c r="I85" i="7" s="1"/>
  <c r="R84" i="7"/>
  <c r="S84" i="7" s="1"/>
  <c r="T83" i="7"/>
  <c r="H83" i="7" s="1"/>
  <c r="R83" i="7"/>
  <c r="S83" i="7" s="1"/>
  <c r="O83" i="7"/>
  <c r="T82" i="7"/>
  <c r="H82" i="7" s="1"/>
  <c r="R82" i="7"/>
  <c r="S82" i="7" s="1"/>
  <c r="O82" i="7"/>
  <c r="T81" i="7"/>
  <c r="R81" i="7"/>
  <c r="S81" i="7" s="1"/>
  <c r="O81" i="7"/>
  <c r="I80" i="7"/>
  <c r="I79" i="7"/>
  <c r="H79" i="7"/>
  <c r="I78" i="7"/>
  <c r="H78" i="7"/>
  <c r="I77" i="7"/>
  <c r="H77" i="7"/>
  <c r="Z69" i="7"/>
  <c r="N69" i="7"/>
  <c r="O69" i="7" s="1"/>
  <c r="M69" i="7"/>
  <c r="L69" i="7"/>
  <c r="Z68" i="7"/>
  <c r="N68" i="7"/>
  <c r="O68" i="7" s="1"/>
  <c r="M68" i="7"/>
  <c r="L68" i="7"/>
  <c r="Z67" i="7"/>
  <c r="N67" i="7"/>
  <c r="O67" i="7" s="1"/>
  <c r="M67" i="7"/>
  <c r="L67" i="7"/>
  <c r="Z66" i="7"/>
  <c r="N66" i="7"/>
  <c r="O66" i="7" s="1"/>
  <c r="M66" i="7"/>
  <c r="L66" i="7"/>
  <c r="Z65" i="7"/>
  <c r="O65" i="7"/>
  <c r="N65" i="7"/>
  <c r="M65" i="7"/>
  <c r="L65" i="7"/>
  <c r="Z64" i="7"/>
  <c r="N64" i="7"/>
  <c r="O64" i="7" s="1"/>
  <c r="M64" i="7"/>
  <c r="L64" i="7"/>
  <c r="Z63" i="7"/>
  <c r="N63" i="7"/>
  <c r="O63" i="7" s="1"/>
  <c r="M63" i="7"/>
  <c r="L63" i="7"/>
  <c r="Z62" i="7"/>
  <c r="N62" i="7"/>
  <c r="O62" i="7" s="1"/>
  <c r="M62" i="7"/>
  <c r="L62" i="7"/>
  <c r="Z61" i="7"/>
  <c r="N61" i="7"/>
  <c r="O61" i="7" s="1"/>
  <c r="M61" i="7"/>
  <c r="L61" i="7"/>
  <c r="Z60" i="7"/>
  <c r="N60" i="7"/>
  <c r="O60" i="7" s="1"/>
  <c r="M60" i="7"/>
  <c r="L60" i="7"/>
  <c r="Z59" i="7"/>
  <c r="N59" i="7"/>
  <c r="O59" i="7" s="1"/>
  <c r="M59" i="7"/>
  <c r="L59" i="7"/>
  <c r="Z58" i="7"/>
  <c r="N58" i="7"/>
  <c r="O58" i="7" s="1"/>
  <c r="M58" i="7"/>
  <c r="L58" i="7"/>
  <c r="Z57" i="7"/>
  <c r="N57" i="7"/>
  <c r="O57" i="7" s="1"/>
  <c r="M57" i="7"/>
  <c r="L57" i="7"/>
  <c r="Z56" i="7"/>
  <c r="N56" i="7"/>
  <c r="O56" i="7" s="1"/>
  <c r="M56" i="7"/>
  <c r="L56" i="7"/>
  <c r="Z55" i="7"/>
  <c r="O55" i="7"/>
  <c r="N55" i="7"/>
  <c r="M55" i="7"/>
  <c r="L55" i="7"/>
  <c r="Z54" i="7"/>
  <c r="N54" i="7"/>
  <c r="O54" i="7" s="1"/>
  <c r="M54" i="7"/>
  <c r="L54" i="7"/>
  <c r="Z53" i="7"/>
  <c r="N53" i="7"/>
  <c r="O53" i="7" s="1"/>
  <c r="M53" i="7"/>
  <c r="L53" i="7"/>
  <c r="Z52" i="7"/>
  <c r="N52" i="7"/>
  <c r="O52" i="7" s="1"/>
  <c r="M52" i="7"/>
  <c r="L52" i="7"/>
  <c r="I31" i="8" l="1"/>
  <c r="D26" i="8"/>
  <c r="D27" i="8" s="1"/>
  <c r="D39" i="8"/>
  <c r="D40" i="8" s="1"/>
  <c r="I82" i="8"/>
  <c r="I89" i="8"/>
  <c r="H81" i="7"/>
  <c r="I82" i="7"/>
  <c r="I84" i="8"/>
  <c r="I87" i="8"/>
  <c r="I83" i="8"/>
  <c r="I81" i="7"/>
  <c r="I88" i="7"/>
  <c r="I83" i="7"/>
  <c r="H83" i="8"/>
  <c r="I86" i="8"/>
  <c r="I90" i="8"/>
  <c r="I84" i="7"/>
  <c r="I86" i="7"/>
  <c r="I90" i="7"/>
  <c r="D30" i="8" l="1"/>
  <c r="D29" i="8"/>
  <c r="D33" i="8"/>
  <c r="D34" i="8" s="1"/>
  <c r="D46" i="8" s="1"/>
  <c r="D18" i="8" s="1"/>
  <c r="D28" i="8"/>
  <c r="D32" i="8" s="1"/>
  <c r="D31" i="8"/>
  <c r="I42" i="8"/>
  <c r="I41" i="8"/>
  <c r="D44" i="8" l="1"/>
  <c r="D45" i="8" s="1"/>
  <c r="D42" i="8"/>
  <c r="N28" i="8" l="1"/>
  <c r="D41" i="8"/>
  <c r="D43" i="8"/>
  <c r="I33" i="8" s="1"/>
  <c r="D13" i="8" l="1"/>
  <c r="I34" i="8"/>
  <c r="I35" i="8" s="1"/>
  <c r="I36" i="8" s="1"/>
  <c r="I38" i="8" s="1"/>
  <c r="I43" i="8" s="1"/>
  <c r="N30" i="8"/>
  <c r="N29" i="8"/>
  <c r="N34" i="8" s="1"/>
  <c r="N35" i="8" s="1"/>
  <c r="N36" i="8" l="1"/>
  <c r="N37" i="8"/>
  <c r="I39" i="8"/>
  <c r="I40" i="8" s="1"/>
  <c r="D14" i="8" s="1"/>
  <c r="I44" i="8"/>
  <c r="I46" i="8" s="1"/>
  <c r="D12" i="8" s="1"/>
  <c r="I45" i="8"/>
  <c r="D15" i="8" l="1"/>
  <c r="N39" i="8"/>
  <c r="D17" i="8" s="1"/>
  <c r="N38" i="8"/>
  <c r="D16" i="8" s="1"/>
</calcChain>
</file>

<file path=xl/comments1.xml><?xml version="1.0" encoding="utf-8"?>
<comments xmlns="http://schemas.openxmlformats.org/spreadsheetml/2006/main">
  <authors>
    <author>Charles M Swenson</author>
  </authors>
  <commentList>
    <comment ref="N8" authorId="0" shapeId="0">
      <text>
        <r>
          <rPr>
            <b/>
            <sz val="9"/>
            <color indexed="81"/>
            <rFont val="Tahoma"/>
            <family val="2"/>
          </rPr>
          <t>Charles M Swenson:</t>
        </r>
        <r>
          <rPr>
            <sz val="9"/>
            <color indexed="81"/>
            <rFont val="Tahoma"/>
            <family val="2"/>
          </rPr>
          <t xml:space="preserve">
http://rredc.nrel.gov/solar/spectra/am0/
The value of the solar constant accepted by the space community is 1366.1 W/m2. 
Both Spectrolab and EMCOR quots Air Mass Zero AM0 values of 1353.0 W/m2 in their data sheets. This is the value we will use in this worksheet.
Obviouly there is some dissagreement.</t>
        </r>
      </text>
    </comment>
    <comment ref="I14" authorId="0" shapeId="0">
      <text>
        <r>
          <rPr>
            <b/>
            <sz val="9"/>
            <color indexed="81"/>
            <rFont val="Tahoma"/>
            <family val="2"/>
          </rPr>
          <t>Charles M Swenson:</t>
        </r>
        <r>
          <rPr>
            <sz val="9"/>
            <color indexed="81"/>
            <rFont val="Tahoma"/>
            <family val="2"/>
          </rPr>
          <t xml:space="preserve">
The efficency * Solar Constant may not quite agree with the area*Vmp*Jmp. this depends if the data in the database is internally consistant.</t>
        </r>
      </text>
    </comment>
    <comment ref="G21" authorId="0" shapeId="0">
      <text>
        <r>
          <rPr>
            <b/>
            <sz val="9"/>
            <color indexed="81"/>
            <rFont val="Tahoma"/>
            <family val="2"/>
          </rPr>
          <t>Charles M Swenson:</t>
        </r>
        <r>
          <rPr>
            <sz val="9"/>
            <color indexed="81"/>
            <rFont val="Tahoma"/>
            <family val="2"/>
          </rPr>
          <t xml:space="preserve">
This is how effectivly, or close, the solar cells can be packed next to each other into a solar panel</t>
        </r>
      </text>
    </comment>
    <comment ref="G22" authorId="0" shapeId="0">
      <text>
        <r>
          <rPr>
            <b/>
            <sz val="9"/>
            <color indexed="81"/>
            <rFont val="Tahoma"/>
            <family val="2"/>
          </rPr>
          <t>Charles M Swenson:</t>
        </r>
        <r>
          <rPr>
            <sz val="9"/>
            <color indexed="81"/>
            <rFont val="Tahoma"/>
            <family val="2"/>
          </rPr>
          <t xml:space="preserve">
A design decision. How the battery voltage is related to the solar panel voltage. For a Direct Energy Transfer (DET) configuration of the solar panels and batteries the voltage of the panels must be about 1.2 to 1.3 times greater than the batteries so that current is forced into the batteries when in sunlight. 
For other configurations where there is a boost or buck DC-to-DC converter in the system to control the charging of the batteries this can be set to give the desired battery voltage.</t>
        </r>
      </text>
    </comment>
    <comment ref="L22" authorId="0" shapeId="0">
      <text>
        <r>
          <rPr>
            <b/>
            <sz val="9"/>
            <color indexed="81"/>
            <rFont val="Tahoma"/>
            <family val="2"/>
          </rPr>
          <t>Charles M Swenson:</t>
        </r>
        <r>
          <rPr>
            <sz val="9"/>
            <color indexed="81"/>
            <rFont val="Tahoma"/>
            <family val="2"/>
          </rPr>
          <t xml:space="preserve">
This need to be set to the value of the Cell Capacity from the database if a specific battery type is selected. 
If a generic battery technology (eg. NiCad, NiH, Lithium Ion) is selected the database will not have a value for the cell capacity. The user should then choose whatever size of cell that could reasonably be obtained.</t>
        </r>
      </text>
    </comment>
    <comment ref="D23" authorId="0" shapeId="0">
      <text>
        <r>
          <rPr>
            <b/>
            <sz val="9"/>
            <color indexed="81"/>
            <rFont val="Tahoma"/>
            <family val="2"/>
          </rPr>
          <t>Charles M Swenson:</t>
        </r>
        <r>
          <rPr>
            <sz val="9"/>
            <color indexed="81"/>
            <rFont val="Tahoma"/>
            <family val="2"/>
          </rPr>
          <t xml:space="preserve">
Circular orbits only since the eclipse geometry calculations are not arbitrary
</t>
        </r>
      </text>
    </comment>
    <comment ref="G23" authorId="0" shapeId="0">
      <text>
        <r>
          <rPr>
            <b/>
            <sz val="9"/>
            <color indexed="81"/>
            <rFont val="Tahoma"/>
            <family val="2"/>
          </rPr>
          <t>Charles M Swenson:</t>
        </r>
        <r>
          <rPr>
            <sz val="9"/>
            <color indexed="81"/>
            <rFont val="Tahoma"/>
            <family val="2"/>
          </rPr>
          <t xml:space="preserve">
How far the solar panel is pointed off of normal to the Sun.</t>
        </r>
      </text>
    </comment>
    <comment ref="L23" authorId="0" shapeId="0">
      <text>
        <r>
          <rPr>
            <b/>
            <sz val="9"/>
            <color indexed="81"/>
            <rFont val="Tahoma"/>
            <family val="2"/>
          </rPr>
          <t>Charles M Swenson:</t>
        </r>
        <r>
          <rPr>
            <sz val="9"/>
            <color indexed="81"/>
            <rFont val="Tahoma"/>
            <family val="2"/>
          </rPr>
          <t xml:space="preserve">
Based on the lifetime curves for the battery and charge dischage cycles requried by the spacecraft. Determined from other tables.</t>
        </r>
      </text>
    </comment>
    <comment ref="G24" authorId="0" shapeId="0">
      <text>
        <r>
          <rPr>
            <b/>
            <sz val="9"/>
            <color indexed="81"/>
            <rFont val="Tahoma"/>
            <family val="2"/>
          </rPr>
          <t>Charles M Swenson:</t>
        </r>
        <r>
          <rPr>
            <sz val="9"/>
            <color indexed="81"/>
            <rFont val="Tahoma"/>
            <family val="2"/>
          </rPr>
          <t xml:space="preserve">
This is the amount of radiation the that the solar cells sees over one year on orbit. It is specified in an equivilant dose of 1-MeV Electrons. The determination of the radiation spectrum for a satellite in a given orbit and the converstion of that spectrum to an equivilant amount of mono-energtic 1-MeV electrons that would produce the same amount to damage to silicon must be determined useing some other tool or table. 
The units are a Fluence which is the total number of particles intercepted per unit area over a given amount of time.</t>
        </r>
      </text>
    </comment>
    <comment ref="B33" authorId="0" shapeId="0">
      <text>
        <r>
          <rPr>
            <b/>
            <sz val="8"/>
            <color indexed="81"/>
            <rFont val="Tahoma"/>
            <family val="2"/>
          </rPr>
          <t>Charles M Swenson:</t>
        </r>
        <r>
          <rPr>
            <sz val="8"/>
            <color indexed="81"/>
            <rFont val="Tahoma"/>
            <family val="2"/>
          </rPr>
          <t xml:space="preserve">
Mean angular velocity
 or mean angular frequency.</t>
        </r>
      </text>
    </comment>
    <comment ref="G33" authorId="0" shapeId="0">
      <text>
        <r>
          <rPr>
            <b/>
            <sz val="9"/>
            <color indexed="81"/>
            <rFont val="Tahoma"/>
            <family val="2"/>
          </rPr>
          <t>Charles M Swenson:</t>
        </r>
        <r>
          <rPr>
            <sz val="9"/>
            <color indexed="81"/>
            <rFont val="Tahoma"/>
            <family val="2"/>
          </rPr>
          <t xml:space="preserve">
The power to run the satellite plus the power to rechage the batteries under the worst case lighting conditions.</t>
        </r>
      </text>
    </comment>
    <comment ref="B40" authorId="0" shapeId="0">
      <text>
        <r>
          <rPr>
            <b/>
            <sz val="9"/>
            <color indexed="81"/>
            <rFont val="Tahoma"/>
            <family val="2"/>
          </rPr>
          <t>Charles M Swenson:</t>
        </r>
        <r>
          <rPr>
            <sz val="9"/>
            <color indexed="81"/>
            <rFont val="Tahoma"/>
            <family val="2"/>
          </rPr>
          <t xml:space="preserve">
The β angle is the angle from the sun direction to the orbital plane. It is zero when the sun is in line with the orbital plane. The maximum β angle is the maximum angle for which eclispes still occure. Values  larger than this will result in no eclipses for the given circular orbit. </t>
        </r>
      </text>
    </comment>
    <comment ref="B41" authorId="0" shapeId="0">
      <text>
        <r>
          <rPr>
            <b/>
            <sz val="9"/>
            <color indexed="81"/>
            <rFont val="Tahoma"/>
            <family val="2"/>
          </rPr>
          <t>Charles M Swenson:</t>
        </r>
        <r>
          <rPr>
            <sz val="9"/>
            <color indexed="81"/>
            <rFont val="Tahoma"/>
            <family val="2"/>
          </rPr>
          <t xml:space="preserve">
The largest possible eclipse for the satellite</t>
        </r>
      </text>
    </comment>
    <comment ref="G41" authorId="0" shapeId="0">
      <text>
        <r>
          <rPr>
            <b/>
            <sz val="9"/>
            <color indexed="81"/>
            <rFont val="Tahoma"/>
            <family val="2"/>
          </rPr>
          <t>Charles M Swenson:</t>
        </r>
        <r>
          <rPr>
            <sz val="9"/>
            <color indexed="81"/>
            <rFont val="Tahoma"/>
            <family val="2"/>
          </rPr>
          <t xml:space="preserve">
This voltage must be larger than the Max Battery Voltge (Charge) for a DET power system</t>
        </r>
      </text>
    </comment>
    <comment ref="B43" authorId="0" shapeId="0">
      <text>
        <r>
          <rPr>
            <b/>
            <sz val="9"/>
            <color indexed="81"/>
            <rFont val="Tahoma"/>
            <family val="2"/>
          </rPr>
          <t>Charles M Swenson:</t>
        </r>
        <r>
          <rPr>
            <sz val="9"/>
            <color indexed="81"/>
            <rFont val="Tahoma"/>
            <family val="2"/>
          </rPr>
          <t xml:space="preserve">
Occures at Max Eclipse
</t>
        </r>
      </text>
    </comment>
    <comment ref="B44" authorId="0" shapeId="0">
      <text>
        <r>
          <rPr>
            <b/>
            <sz val="9"/>
            <color indexed="81"/>
            <rFont val="Tahoma"/>
            <family val="2"/>
          </rPr>
          <t>Charles M Swenson:</t>
        </r>
        <r>
          <rPr>
            <sz val="9"/>
            <color indexed="81"/>
            <rFont val="Tahoma"/>
            <family val="2"/>
          </rPr>
          <t xml:space="preserve">
At the povided Solar Beta Angle
</t>
        </r>
      </text>
    </comment>
    <comment ref="B45" authorId="0" shapeId="0">
      <text>
        <r>
          <rPr>
            <b/>
            <sz val="9"/>
            <color indexed="81"/>
            <rFont val="Tahoma"/>
            <family val="2"/>
          </rPr>
          <t>Charles M Swenson:</t>
        </r>
        <r>
          <rPr>
            <sz val="9"/>
            <color indexed="81"/>
            <rFont val="Tahoma"/>
            <family val="2"/>
          </rPr>
          <t xml:space="preserve">
At the Provided Beta Angle
</t>
        </r>
      </text>
    </comment>
    <comment ref="B46" authorId="0" shapeId="0">
      <text>
        <r>
          <rPr>
            <b/>
            <sz val="9"/>
            <color indexed="81"/>
            <rFont val="Tahoma"/>
            <family val="2"/>
          </rPr>
          <t>Charles M Swenson:</t>
        </r>
        <r>
          <rPr>
            <sz val="9"/>
            <color indexed="81"/>
            <rFont val="Tahoma"/>
            <family val="2"/>
          </rPr>
          <t xml:space="preserve">
The number of cycles must be less than the life cycles of the batteries given the DOD</t>
        </r>
      </text>
    </comment>
    <comment ref="B49" authorId="0" shapeId="0">
      <text>
        <r>
          <rPr>
            <b/>
            <sz val="9"/>
            <color indexed="81"/>
            <rFont val="Tahoma"/>
            <family val="2"/>
          </rPr>
          <t>Charles M Swenson:</t>
        </r>
        <r>
          <rPr>
            <sz val="9"/>
            <color indexed="81"/>
            <rFont val="Tahoma"/>
            <family val="2"/>
          </rPr>
          <t xml:space="preserve">
Items 1 through 5 come from  Fundamentals of Space Systems Table 6.2
Items 6-18 come from Robert Burt's review of company literatures on Solar Cells.</t>
        </r>
      </text>
    </comment>
    <comment ref="I50" authorId="0" shapeId="0">
      <text>
        <r>
          <rPr>
            <b/>
            <sz val="9"/>
            <color indexed="81"/>
            <rFont val="Tahoma"/>
            <family val="2"/>
          </rPr>
          <t>Charles M Swenson:</t>
        </r>
        <r>
          <rPr>
            <sz val="9"/>
            <color indexed="81"/>
            <rFont val="Tahoma"/>
            <family val="2"/>
          </rPr>
          <t xml:space="preserve">
These Jmp numbers adjusted so that the effiiciency and the Jmp*Vmp agree with an AMO number of 135.3 mw/cm2</t>
        </r>
      </text>
    </comment>
    <comment ref="B74" authorId="0" shapeId="0">
      <text>
        <r>
          <rPr>
            <b/>
            <sz val="9"/>
            <color indexed="81"/>
            <rFont val="Tahoma"/>
            <family val="2"/>
          </rPr>
          <t>Charles M Swenson:</t>
        </r>
        <r>
          <rPr>
            <sz val="9"/>
            <color indexed="81"/>
            <rFont val="Tahoma"/>
            <family val="2"/>
          </rPr>
          <t xml:space="preserve">
Items 1 - 4 come from Fundamentals of Space Systems. Items 5 - 20 come from Robert Burt's review of manufactures data</t>
        </r>
      </text>
    </comment>
  </commentList>
</comments>
</file>

<file path=xl/comments2.xml><?xml version="1.0" encoding="utf-8"?>
<comments xmlns="http://schemas.openxmlformats.org/spreadsheetml/2006/main">
  <authors>
    <author>Charles M Swenson</author>
  </authors>
  <commentList>
    <comment ref="N8" authorId="0" shapeId="0">
      <text>
        <r>
          <rPr>
            <b/>
            <sz val="9"/>
            <color indexed="81"/>
            <rFont val="Tahoma"/>
            <family val="2"/>
          </rPr>
          <t>Charles M Swenson:</t>
        </r>
        <r>
          <rPr>
            <sz val="9"/>
            <color indexed="81"/>
            <rFont val="Tahoma"/>
            <family val="2"/>
          </rPr>
          <t xml:space="preserve">
http://rredc.nrel.gov/solar/spectra/am0/
The value of the solar constant accepted by the space community is 1366.1 W/m2. 
Both Spectrolab and EMCOR quots Air Mass Zero AM0 values of 1353.0 W/m2 in their data sheets. This is the value we will use in this worksheet.
Obviouly there is some dissagreement.</t>
        </r>
      </text>
    </comment>
    <comment ref="I14" authorId="0" shapeId="0">
      <text>
        <r>
          <rPr>
            <b/>
            <sz val="9"/>
            <color indexed="81"/>
            <rFont val="Tahoma"/>
            <family val="2"/>
          </rPr>
          <t>Charles M Swenson:</t>
        </r>
        <r>
          <rPr>
            <sz val="9"/>
            <color indexed="81"/>
            <rFont val="Tahoma"/>
            <family val="2"/>
          </rPr>
          <t xml:space="preserve">
The efficency * Solar Constant may not quite agree with the area*Vmp*Jmp. this depends if the data in the database is internally consistant.</t>
        </r>
      </text>
    </comment>
    <comment ref="G21" authorId="0" shapeId="0">
      <text>
        <r>
          <rPr>
            <b/>
            <sz val="9"/>
            <color indexed="81"/>
            <rFont val="Tahoma"/>
            <family val="2"/>
          </rPr>
          <t>Charles M Swenson:</t>
        </r>
        <r>
          <rPr>
            <sz val="9"/>
            <color indexed="81"/>
            <rFont val="Tahoma"/>
            <family val="2"/>
          </rPr>
          <t xml:space="preserve">
This is how effectivly, or close, the solar cells can be packed next to each other into a solar panel</t>
        </r>
      </text>
    </comment>
    <comment ref="G22" authorId="0" shapeId="0">
      <text>
        <r>
          <rPr>
            <b/>
            <sz val="9"/>
            <color indexed="81"/>
            <rFont val="Tahoma"/>
            <family val="2"/>
          </rPr>
          <t>Charles M Swenson:</t>
        </r>
        <r>
          <rPr>
            <sz val="9"/>
            <color indexed="81"/>
            <rFont val="Tahoma"/>
            <family val="2"/>
          </rPr>
          <t xml:space="preserve">
A design decision. How the battery voltage is related to the solar panel voltage. For a Direct Energy Transfer (DET) configuration of the solar panels and batteries the voltage of the panels must be about 1.2 to 1.3 times greater than the batteries so that current is forced into the batteries when in sunlight. 
For other configurations where there is a boost or buck DC-to-DC converter in the system to control the charging of the batteries this can be set to give the desired battery voltage.</t>
        </r>
      </text>
    </comment>
    <comment ref="L22" authorId="0" shapeId="0">
      <text>
        <r>
          <rPr>
            <b/>
            <sz val="9"/>
            <color indexed="81"/>
            <rFont val="Tahoma"/>
            <family val="2"/>
          </rPr>
          <t>Charles M Swenson:</t>
        </r>
        <r>
          <rPr>
            <sz val="9"/>
            <color indexed="81"/>
            <rFont val="Tahoma"/>
            <family val="2"/>
          </rPr>
          <t xml:space="preserve">
This need to be set to the value of the Cell Capacity from the database if a specific battery type is selected. 
If a generic battery technology (eg. NiCad, NiH, Lithium Ion) is selected the database will not have a value for the cell capacity. The user should then choose whatever size of cell that could reasonably be obtained.</t>
        </r>
      </text>
    </comment>
    <comment ref="D23" authorId="0" shapeId="0">
      <text>
        <r>
          <rPr>
            <b/>
            <sz val="9"/>
            <color indexed="81"/>
            <rFont val="Tahoma"/>
            <family val="2"/>
          </rPr>
          <t>Charles M Swenson:</t>
        </r>
        <r>
          <rPr>
            <sz val="9"/>
            <color indexed="81"/>
            <rFont val="Tahoma"/>
            <family val="2"/>
          </rPr>
          <t xml:space="preserve">
Circular orbits only since the eclipse geometry calculations are not arbitrary
</t>
        </r>
      </text>
    </comment>
    <comment ref="G23" authorId="0" shapeId="0">
      <text>
        <r>
          <rPr>
            <b/>
            <sz val="9"/>
            <color indexed="81"/>
            <rFont val="Tahoma"/>
            <family val="2"/>
          </rPr>
          <t>Charles M Swenson:</t>
        </r>
        <r>
          <rPr>
            <sz val="9"/>
            <color indexed="81"/>
            <rFont val="Tahoma"/>
            <family val="2"/>
          </rPr>
          <t xml:space="preserve">
How far the solar panel is pointed off of normal to the Sun.</t>
        </r>
      </text>
    </comment>
    <comment ref="L23" authorId="0" shapeId="0">
      <text>
        <r>
          <rPr>
            <b/>
            <sz val="9"/>
            <color indexed="81"/>
            <rFont val="Tahoma"/>
            <family val="2"/>
          </rPr>
          <t>Charles M Swenson:</t>
        </r>
        <r>
          <rPr>
            <sz val="9"/>
            <color indexed="81"/>
            <rFont val="Tahoma"/>
            <family val="2"/>
          </rPr>
          <t xml:space="preserve">
Based on the lifetime curves for the battery and charge dischage cycles requried by the spacecraft. Determined from other tables.</t>
        </r>
      </text>
    </comment>
    <comment ref="G24" authorId="0" shapeId="0">
      <text>
        <r>
          <rPr>
            <b/>
            <sz val="9"/>
            <color indexed="81"/>
            <rFont val="Tahoma"/>
            <family val="2"/>
          </rPr>
          <t>Charles M Swenson:</t>
        </r>
        <r>
          <rPr>
            <sz val="9"/>
            <color indexed="81"/>
            <rFont val="Tahoma"/>
            <family val="2"/>
          </rPr>
          <t xml:space="preserve">
This is the amount of radiation the that the solar cells sees over one year on orbit. It is specified in an equivilant dose of 1-MeV Electrons. The determination of the radiation spectrum for a satellite in a given orbit and the converstion of that spectrum to an equivilant amount of mono-energtic 1-MeV electrons that would produce the same amount to damage to silicon must be determined useing some other tool or table. 
The units are a Fluence which is the total number of particles intercepted per unit area over a given amount of time.</t>
        </r>
      </text>
    </comment>
    <comment ref="B33" authorId="0" shapeId="0">
      <text>
        <r>
          <rPr>
            <b/>
            <sz val="8"/>
            <color indexed="81"/>
            <rFont val="Tahoma"/>
            <family val="2"/>
          </rPr>
          <t>Charles M Swenson:</t>
        </r>
        <r>
          <rPr>
            <sz val="8"/>
            <color indexed="81"/>
            <rFont val="Tahoma"/>
            <family val="2"/>
          </rPr>
          <t xml:space="preserve">
Mean angular velocity
 or mean angular frequency.</t>
        </r>
      </text>
    </comment>
    <comment ref="G33" authorId="0" shapeId="0">
      <text>
        <r>
          <rPr>
            <b/>
            <sz val="9"/>
            <color indexed="81"/>
            <rFont val="Tahoma"/>
            <family val="2"/>
          </rPr>
          <t>Charles M Swenson:</t>
        </r>
        <r>
          <rPr>
            <sz val="9"/>
            <color indexed="81"/>
            <rFont val="Tahoma"/>
            <family val="2"/>
          </rPr>
          <t xml:space="preserve">
The power to run the satellite plus the power to rechage the batteries under the worst case lighting conditions.</t>
        </r>
      </text>
    </comment>
    <comment ref="B40" authorId="0" shapeId="0">
      <text>
        <r>
          <rPr>
            <b/>
            <sz val="9"/>
            <color indexed="81"/>
            <rFont val="Tahoma"/>
            <family val="2"/>
          </rPr>
          <t>Charles M Swenson:</t>
        </r>
        <r>
          <rPr>
            <sz val="9"/>
            <color indexed="81"/>
            <rFont val="Tahoma"/>
            <family val="2"/>
          </rPr>
          <t xml:space="preserve">
The β angle is the angle from the sun direction to the orbital plane. It is zero when the sun is in line with the orbital plane. The maximum β angle is the maximum angle for which eclispes still occure. Values  larger than this will result in no eclipses for the given circular orbit. </t>
        </r>
      </text>
    </comment>
    <comment ref="B41" authorId="0" shapeId="0">
      <text>
        <r>
          <rPr>
            <b/>
            <sz val="9"/>
            <color indexed="81"/>
            <rFont val="Tahoma"/>
            <family val="2"/>
          </rPr>
          <t>Charles M Swenson:</t>
        </r>
        <r>
          <rPr>
            <sz val="9"/>
            <color indexed="81"/>
            <rFont val="Tahoma"/>
            <family val="2"/>
          </rPr>
          <t xml:space="preserve">
The largest possible eclipse for the satellite</t>
        </r>
      </text>
    </comment>
    <comment ref="G41" authorId="0" shapeId="0">
      <text>
        <r>
          <rPr>
            <b/>
            <sz val="9"/>
            <color indexed="81"/>
            <rFont val="Tahoma"/>
            <family val="2"/>
          </rPr>
          <t>Charles M Swenson:</t>
        </r>
        <r>
          <rPr>
            <sz val="9"/>
            <color indexed="81"/>
            <rFont val="Tahoma"/>
            <family val="2"/>
          </rPr>
          <t xml:space="preserve">
This voltage must be larger than the Max Battery Voltge (Charge) for a DET power system</t>
        </r>
      </text>
    </comment>
    <comment ref="B43" authorId="0" shapeId="0">
      <text>
        <r>
          <rPr>
            <b/>
            <sz val="9"/>
            <color indexed="81"/>
            <rFont val="Tahoma"/>
            <family val="2"/>
          </rPr>
          <t>Charles M Swenson:</t>
        </r>
        <r>
          <rPr>
            <sz val="9"/>
            <color indexed="81"/>
            <rFont val="Tahoma"/>
            <family val="2"/>
          </rPr>
          <t xml:space="preserve">
Occures at Max Eclipse
</t>
        </r>
      </text>
    </comment>
    <comment ref="B44" authorId="0" shapeId="0">
      <text>
        <r>
          <rPr>
            <b/>
            <sz val="9"/>
            <color indexed="81"/>
            <rFont val="Tahoma"/>
            <family val="2"/>
          </rPr>
          <t>Charles M Swenson:</t>
        </r>
        <r>
          <rPr>
            <sz val="9"/>
            <color indexed="81"/>
            <rFont val="Tahoma"/>
            <family val="2"/>
          </rPr>
          <t xml:space="preserve">
At the povided Solar Beta Angle
</t>
        </r>
      </text>
    </comment>
    <comment ref="B45" authorId="0" shapeId="0">
      <text>
        <r>
          <rPr>
            <b/>
            <sz val="9"/>
            <color indexed="81"/>
            <rFont val="Tahoma"/>
            <family val="2"/>
          </rPr>
          <t>Charles M Swenson:</t>
        </r>
        <r>
          <rPr>
            <sz val="9"/>
            <color indexed="81"/>
            <rFont val="Tahoma"/>
            <family val="2"/>
          </rPr>
          <t xml:space="preserve">
At the Provided Beta Angle
</t>
        </r>
      </text>
    </comment>
    <comment ref="B46" authorId="0" shapeId="0">
      <text>
        <r>
          <rPr>
            <b/>
            <sz val="9"/>
            <color indexed="81"/>
            <rFont val="Tahoma"/>
            <family val="2"/>
          </rPr>
          <t>Charles M Swenson:</t>
        </r>
        <r>
          <rPr>
            <sz val="9"/>
            <color indexed="81"/>
            <rFont val="Tahoma"/>
            <family val="2"/>
          </rPr>
          <t xml:space="preserve">
The number of cycles must be less than the life cycles of the batteries given the DOD</t>
        </r>
      </text>
    </comment>
    <comment ref="B49" authorId="0" shapeId="0">
      <text>
        <r>
          <rPr>
            <b/>
            <sz val="9"/>
            <color indexed="81"/>
            <rFont val="Tahoma"/>
            <family val="2"/>
          </rPr>
          <t>Charles M Swenson:</t>
        </r>
        <r>
          <rPr>
            <sz val="9"/>
            <color indexed="81"/>
            <rFont val="Tahoma"/>
            <family val="2"/>
          </rPr>
          <t xml:space="preserve">
Items 1 through 5 come from  Fundamentals of Space Systems Table 6.2
Items 6-18 come from Robert Burt's review of company literatures on Solar Cells.</t>
        </r>
      </text>
    </comment>
    <comment ref="I50" authorId="0" shapeId="0">
      <text>
        <r>
          <rPr>
            <b/>
            <sz val="9"/>
            <color indexed="81"/>
            <rFont val="Tahoma"/>
            <family val="2"/>
          </rPr>
          <t>Charles M Swenson:</t>
        </r>
        <r>
          <rPr>
            <sz val="9"/>
            <color indexed="81"/>
            <rFont val="Tahoma"/>
            <family val="2"/>
          </rPr>
          <t xml:space="preserve">
These Jmp numbers adjusted so that the effiiciency and the Jmp*Vmp agree with an AMO number of 135.3 mw/cm2</t>
        </r>
      </text>
    </comment>
    <comment ref="B75" authorId="0" shapeId="0">
      <text>
        <r>
          <rPr>
            <b/>
            <sz val="9"/>
            <color indexed="81"/>
            <rFont val="Tahoma"/>
            <family val="2"/>
          </rPr>
          <t>Charles M Swenson:</t>
        </r>
        <r>
          <rPr>
            <sz val="9"/>
            <color indexed="81"/>
            <rFont val="Tahoma"/>
            <family val="2"/>
          </rPr>
          <t xml:space="preserve">
Items 1 - 4 come from Fundamentals of Space Systems. Items 5 - 20 come from Robert Burt's review of manufactures data</t>
        </r>
      </text>
    </comment>
  </commentList>
</comments>
</file>

<file path=xl/sharedStrings.xml><?xml version="1.0" encoding="utf-8"?>
<sst xmlns="http://schemas.openxmlformats.org/spreadsheetml/2006/main" count="1106" uniqueCount="306">
  <si>
    <t>Load Power</t>
  </si>
  <si>
    <t>Mission Duration</t>
  </si>
  <si>
    <t>Parameter</t>
  </si>
  <si>
    <t>Unit</t>
  </si>
  <si>
    <t>Value</t>
  </si>
  <si>
    <t>m</t>
  </si>
  <si>
    <t>W</t>
  </si>
  <si>
    <t>GaAs</t>
  </si>
  <si>
    <t>Silicon</t>
  </si>
  <si>
    <t>NiCd</t>
  </si>
  <si>
    <t>NiH2</t>
  </si>
  <si>
    <t>V</t>
  </si>
  <si>
    <t>Energy Density</t>
  </si>
  <si>
    <t>Wh/kg</t>
  </si>
  <si>
    <t>C</t>
  </si>
  <si>
    <t>V/cell</t>
  </si>
  <si>
    <t>Min Operating Temp</t>
  </si>
  <si>
    <t>Max Operating Temp</t>
  </si>
  <si>
    <t>Packing Factor</t>
  </si>
  <si>
    <t>deg</t>
  </si>
  <si>
    <t>Array Temperature</t>
  </si>
  <si>
    <t>Required EOL Power</t>
  </si>
  <si>
    <t>BOL Power</t>
  </si>
  <si>
    <t># of Cells</t>
  </si>
  <si>
    <t>Cell Area</t>
  </si>
  <si>
    <t># of Strings</t>
  </si>
  <si>
    <t>Alpha</t>
  </si>
  <si>
    <t>Time in Eclipse</t>
  </si>
  <si>
    <t>Time in Sun</t>
  </si>
  <si>
    <t>Required Energy Storage</t>
  </si>
  <si>
    <t>Required Recharge Power</t>
  </si>
  <si>
    <t>Required Battery Capacity</t>
  </si>
  <si>
    <t>Wh</t>
  </si>
  <si>
    <t># of Cells in Series</t>
  </si>
  <si>
    <t>Battery Voltage</t>
  </si>
  <si>
    <t>Required Amp-Hr Capacity</t>
  </si>
  <si>
    <t>Ah</t>
  </si>
  <si>
    <t># of Cells in Parallel</t>
  </si>
  <si>
    <t>Total # of Battery Cells</t>
  </si>
  <si>
    <t>Design Battery Capacity</t>
  </si>
  <si>
    <t>Eclipse Geometry</t>
  </si>
  <si>
    <t>Cell Capacity</t>
  </si>
  <si>
    <t>DOD</t>
  </si>
  <si>
    <t>Life Cycle</t>
  </si>
  <si>
    <t>Bus Voltage</t>
  </si>
  <si>
    <t>EOL Power</t>
  </si>
  <si>
    <t>Battery Capacity</t>
  </si>
  <si>
    <t>Power Sizing Spreadsheet</t>
  </si>
  <si>
    <r>
      <t>m</t>
    </r>
    <r>
      <rPr>
        <vertAlign val="superscript"/>
        <sz val="10"/>
        <rFont val="Arial"/>
        <family val="2"/>
      </rPr>
      <t>2</t>
    </r>
  </si>
  <si>
    <t>Reference Temperature</t>
  </si>
  <si>
    <t>Pointing error</t>
  </si>
  <si>
    <t>Solar Beta Angle</t>
  </si>
  <si>
    <t>km</t>
  </si>
  <si>
    <t>Color Code Key</t>
  </si>
  <si>
    <t>User Inputs</t>
  </si>
  <si>
    <t>calculated value</t>
  </si>
  <si>
    <t>Heading</t>
  </si>
  <si>
    <t>Sub Heading</t>
  </si>
  <si>
    <t>Constants</t>
  </si>
  <si>
    <t>Symbol</t>
  </si>
  <si>
    <t>Values</t>
  </si>
  <si>
    <t>Units</t>
  </si>
  <si>
    <t>Earth gravitational constant</t>
  </si>
  <si>
    <r>
      <t>km</t>
    </r>
    <r>
      <rPr>
        <vertAlign val="superscript"/>
        <sz val="10"/>
        <rFont val="Arial"/>
        <family val="2"/>
      </rPr>
      <t>3</t>
    </r>
    <r>
      <rPr>
        <sz val="10"/>
        <rFont val="Arial"/>
        <family val="2"/>
      </rPr>
      <t>/s</t>
    </r>
    <r>
      <rPr>
        <vertAlign val="superscript"/>
        <sz val="10"/>
        <rFont val="Arial"/>
        <family val="2"/>
      </rPr>
      <t>2</t>
    </r>
  </si>
  <si>
    <t>Earth radius</t>
  </si>
  <si>
    <r>
      <t>R</t>
    </r>
    <r>
      <rPr>
        <vertAlign val="subscript"/>
        <sz val="10"/>
        <rFont val="Arial"/>
        <family val="2"/>
      </rPr>
      <t>E</t>
    </r>
  </si>
  <si>
    <t>Earth J2 Gravitational Harmonic</t>
  </si>
  <si>
    <r>
      <t>J</t>
    </r>
    <r>
      <rPr>
        <vertAlign val="subscript"/>
        <sz val="10"/>
        <rFont val="Arial"/>
        <family val="2"/>
      </rPr>
      <t>2</t>
    </r>
  </si>
  <si>
    <t>unitless</t>
  </si>
  <si>
    <t>Satellite Orbit</t>
  </si>
  <si>
    <t>Perigee altitude</t>
  </si>
  <si>
    <r>
      <t>h</t>
    </r>
    <r>
      <rPr>
        <vertAlign val="subscript"/>
        <sz val="10"/>
        <rFont val="Arial"/>
        <family val="2"/>
      </rPr>
      <t>p</t>
    </r>
  </si>
  <si>
    <t xml:space="preserve">km </t>
  </si>
  <si>
    <t>Apogee altitude</t>
  </si>
  <si>
    <r>
      <t>h</t>
    </r>
    <r>
      <rPr>
        <vertAlign val="subscript"/>
        <sz val="10"/>
        <rFont val="Arial"/>
        <family val="2"/>
      </rPr>
      <t>a</t>
    </r>
  </si>
  <si>
    <t>Inclination</t>
  </si>
  <si>
    <t>i</t>
  </si>
  <si>
    <t>Radius of perigee</t>
  </si>
  <si>
    <r>
      <t>r</t>
    </r>
    <r>
      <rPr>
        <vertAlign val="subscript"/>
        <sz val="10"/>
        <rFont val="Arial"/>
        <family val="2"/>
      </rPr>
      <t>p</t>
    </r>
  </si>
  <si>
    <t>Radius of apogee</t>
  </si>
  <si>
    <r>
      <t>r</t>
    </r>
    <r>
      <rPr>
        <vertAlign val="subscript"/>
        <sz val="10"/>
        <rFont val="Arial"/>
        <family val="2"/>
      </rPr>
      <t>a</t>
    </r>
  </si>
  <si>
    <t>Semi major axis</t>
  </si>
  <si>
    <t>a</t>
  </si>
  <si>
    <t>Eccentricity</t>
  </si>
  <si>
    <t>e</t>
  </si>
  <si>
    <t>Orbit Period</t>
  </si>
  <si>
    <r>
      <t>t</t>
    </r>
    <r>
      <rPr>
        <vertAlign val="subscript"/>
        <sz val="10"/>
        <rFont val="Arial"/>
        <family val="2"/>
      </rPr>
      <t>s</t>
    </r>
  </si>
  <si>
    <t>min</t>
  </si>
  <si>
    <t>Velocity at perigee</t>
  </si>
  <si>
    <r>
      <t>V</t>
    </r>
    <r>
      <rPr>
        <vertAlign val="subscript"/>
        <sz val="10"/>
        <rFont val="Arial"/>
        <family val="2"/>
      </rPr>
      <t>p</t>
    </r>
  </si>
  <si>
    <t>km/s</t>
  </si>
  <si>
    <t>Velocity at apogee</t>
  </si>
  <si>
    <r>
      <t>V</t>
    </r>
    <r>
      <rPr>
        <vertAlign val="subscript"/>
        <sz val="10"/>
        <rFont val="Arial"/>
        <family val="2"/>
      </rPr>
      <t>a</t>
    </r>
  </si>
  <si>
    <t>Semilactus rectum</t>
  </si>
  <si>
    <t>p</t>
  </si>
  <si>
    <t>Mean Motion</t>
  </si>
  <si>
    <t>n</t>
  </si>
  <si>
    <t>rad/day</t>
  </si>
  <si>
    <t>rev/day</t>
  </si>
  <si>
    <t>%</t>
  </si>
  <si>
    <t>Eclipse Cycles over Lifetime</t>
  </si>
  <si>
    <t>Years</t>
  </si>
  <si>
    <t>Power System Requirements</t>
  </si>
  <si>
    <t>Solar Array Calculations</t>
  </si>
  <si>
    <t>Solar Array Selection</t>
  </si>
  <si>
    <t>Cell Type</t>
  </si>
  <si>
    <t>Design Summary</t>
  </si>
  <si>
    <t>ATJ</t>
  </si>
  <si>
    <t>ATJM</t>
  </si>
  <si>
    <t>BTJ</t>
  </si>
  <si>
    <t>BTJM</t>
  </si>
  <si>
    <t>DJ</t>
  </si>
  <si>
    <t>SJ</t>
  </si>
  <si>
    <t>TJ</t>
  </si>
  <si>
    <t>ITJ</t>
  </si>
  <si>
    <t>UTJ</t>
  </si>
  <si>
    <t>K4702</t>
  </si>
  <si>
    <t>K4710</t>
  </si>
  <si>
    <t>K6700B</t>
  </si>
  <si>
    <t>K6700BW</t>
  </si>
  <si>
    <t>Vendor</t>
  </si>
  <si>
    <t>Emcore</t>
  </si>
  <si>
    <t>Spectrolab</t>
  </si>
  <si>
    <t>Spectolab</t>
  </si>
  <si>
    <t>g</t>
  </si>
  <si>
    <t>mm</t>
  </si>
  <si>
    <t>BOL Efficiency</t>
  </si>
  <si>
    <t>Voc</t>
  </si>
  <si>
    <t>Isc</t>
  </si>
  <si>
    <t>A</t>
  </si>
  <si>
    <t>Jsc</t>
  </si>
  <si>
    <t>Vmp</t>
  </si>
  <si>
    <t>Imp</t>
  </si>
  <si>
    <t>Jmp</t>
  </si>
  <si>
    <t>Pmax</t>
  </si>
  <si>
    <t>°C</t>
  </si>
  <si>
    <t>Capacity</t>
  </si>
  <si>
    <t>Mean Voltage (@ C/1.5)</t>
  </si>
  <si>
    <t>End of Charge Voltage</t>
  </si>
  <si>
    <t>Energy</t>
  </si>
  <si>
    <t>Specific Energy</t>
  </si>
  <si>
    <t>Height</t>
  </si>
  <si>
    <t>Diameter</t>
  </si>
  <si>
    <t>Depth</t>
  </si>
  <si>
    <t>Width</t>
  </si>
  <si>
    <t>Mass</t>
  </si>
  <si>
    <t>Status</t>
  </si>
  <si>
    <t>Main Application</t>
  </si>
  <si>
    <t>kg</t>
  </si>
  <si>
    <t>18650HC</t>
  </si>
  <si>
    <t>ABSL</t>
  </si>
  <si>
    <t>Qualified</t>
  </si>
  <si>
    <t>GEO, LEO</t>
  </si>
  <si>
    <t>18650HR</t>
  </si>
  <si>
    <t>Qualified?</t>
  </si>
  <si>
    <t>UNKN</t>
  </si>
  <si>
    <t>18650LV</t>
  </si>
  <si>
    <t>VES 100</t>
  </si>
  <si>
    <t>Saft</t>
  </si>
  <si>
    <t>LEO</t>
  </si>
  <si>
    <t>VES 140</t>
  </si>
  <si>
    <t>GEO, MEO</t>
  </si>
  <si>
    <t>VES 180</t>
  </si>
  <si>
    <t>GEP, MEO</t>
  </si>
  <si>
    <t>MPS</t>
  </si>
  <si>
    <t>VL8P</t>
  </si>
  <si>
    <t>Launcher</t>
  </si>
  <si>
    <t>VL48E</t>
  </si>
  <si>
    <t>VL10E</t>
  </si>
  <si>
    <t>15Ah</t>
  </si>
  <si>
    <t>Quallion</t>
  </si>
  <si>
    <t>75Ah</t>
  </si>
  <si>
    <t>In Process</t>
  </si>
  <si>
    <t>NCP7-1</t>
  </si>
  <si>
    <t>Lithion</t>
  </si>
  <si>
    <t>NQ</t>
  </si>
  <si>
    <t>NCP8-1</t>
  </si>
  <si>
    <t>NCP12-1</t>
  </si>
  <si>
    <t>NCP25-1</t>
  </si>
  <si>
    <t>Solar Cell Database</t>
  </si>
  <si>
    <t>Battery Database</t>
  </si>
  <si>
    <r>
      <t>cm</t>
    </r>
    <r>
      <rPr>
        <b/>
        <vertAlign val="superscript"/>
        <sz val="10"/>
        <color indexed="9"/>
        <rFont val="Arial"/>
        <family val="2"/>
      </rPr>
      <t>2</t>
    </r>
  </si>
  <si>
    <t>Cell Name</t>
  </si>
  <si>
    <t>Index</t>
  </si>
  <si>
    <r>
      <t>cm</t>
    </r>
    <r>
      <rPr>
        <vertAlign val="superscript"/>
        <sz val="10"/>
        <rFont val="Arial"/>
        <family val="2"/>
      </rPr>
      <t>2</t>
    </r>
  </si>
  <si>
    <t>Junctions</t>
  </si>
  <si>
    <t>Single</t>
  </si>
  <si>
    <t>Generic</t>
  </si>
  <si>
    <t>Hi-Eff Si</t>
  </si>
  <si>
    <t>Two</t>
  </si>
  <si>
    <t>Three</t>
  </si>
  <si>
    <t>Triple</t>
  </si>
  <si>
    <t>Dual</t>
  </si>
  <si>
    <r>
      <t>mA/cm</t>
    </r>
    <r>
      <rPr>
        <b/>
        <vertAlign val="superscript"/>
        <sz val="10"/>
        <color indexed="9"/>
        <rFont val="Arial"/>
        <family val="2"/>
      </rPr>
      <t>2</t>
    </r>
  </si>
  <si>
    <t>Pmp</t>
  </si>
  <si>
    <r>
      <t>mW/cm</t>
    </r>
    <r>
      <rPr>
        <b/>
        <vertAlign val="superscript"/>
        <sz val="10"/>
        <color indexed="9"/>
        <rFont val="Arial"/>
        <family val="2"/>
      </rPr>
      <t>2</t>
    </r>
  </si>
  <si>
    <t>Ref Temp</t>
  </si>
  <si>
    <r>
      <t>uA/cm</t>
    </r>
    <r>
      <rPr>
        <b/>
        <vertAlign val="superscript"/>
        <sz val="10"/>
        <color indexed="9"/>
        <rFont val="Arial"/>
        <family val="2"/>
      </rPr>
      <t>2</t>
    </r>
    <r>
      <rPr>
        <b/>
        <sz val="10"/>
        <color indexed="9"/>
        <rFont val="Arial"/>
        <family val="2"/>
      </rPr>
      <t>/°C</t>
    </r>
  </si>
  <si>
    <t>mV/°C</t>
  </si>
  <si>
    <t>Temperature Coefficients at 28 °C</t>
  </si>
  <si>
    <t>Based on Cell Area</t>
  </si>
  <si>
    <r>
      <t>mg/cm</t>
    </r>
    <r>
      <rPr>
        <b/>
        <vertAlign val="superscript"/>
        <sz val="10"/>
        <color indexed="9"/>
        <rFont val="Arial"/>
        <family val="2"/>
      </rPr>
      <t>2</t>
    </r>
  </si>
  <si>
    <t xml:space="preserve">Radiation Degradation </t>
  </si>
  <si>
    <r>
      <t>At 10</t>
    </r>
    <r>
      <rPr>
        <b/>
        <vertAlign val="superscript"/>
        <sz val="10"/>
        <color indexed="9"/>
        <rFont val="Arial"/>
        <family val="2"/>
      </rPr>
      <t xml:space="preserve">15 </t>
    </r>
    <r>
      <rPr>
        <b/>
        <sz val="10"/>
        <color indexed="9"/>
        <rFont val="Arial"/>
        <family val="2"/>
      </rPr>
      <t>1-MeV Electrons/cm</t>
    </r>
    <r>
      <rPr>
        <b/>
        <vertAlign val="superscript"/>
        <sz val="10"/>
        <color indexed="9"/>
        <rFont val="Arial"/>
        <family val="2"/>
      </rPr>
      <t>2</t>
    </r>
  </si>
  <si>
    <t xml:space="preserve">Cell, Coverglass, Interconnect </t>
  </si>
  <si>
    <t>Cell</t>
  </si>
  <si>
    <t>Glass</t>
  </si>
  <si>
    <t>Cell Mass</t>
  </si>
  <si>
    <t>Row Index Number</t>
  </si>
  <si>
    <t>Voltage Temp Coefficent</t>
  </si>
  <si>
    <t>Current Temp Coefficent</t>
  </si>
  <si>
    <r>
      <t>uA/cm</t>
    </r>
    <r>
      <rPr>
        <vertAlign val="superscript"/>
        <sz val="10"/>
        <rFont val="Arial"/>
        <family val="2"/>
      </rPr>
      <t>2</t>
    </r>
    <r>
      <rPr>
        <sz val="10"/>
        <rFont val="Arial"/>
        <family val="2"/>
      </rPr>
      <t>/°C</t>
    </r>
  </si>
  <si>
    <t>Expected radiation degradation</t>
  </si>
  <si>
    <t>Expected 1-MeV Electron Fluence/Year</t>
  </si>
  <si>
    <t>Expected temperature degradation</t>
  </si>
  <si>
    <t>Cell voltage at operating temperature</t>
  </si>
  <si>
    <r>
      <t>V</t>
    </r>
    <r>
      <rPr>
        <vertAlign val="subscript"/>
        <sz val="10"/>
        <rFont val="Arial"/>
        <family val="2"/>
      </rPr>
      <t>mp</t>
    </r>
  </si>
  <si>
    <t xml:space="preserve">Cell Max Power Voltage </t>
  </si>
  <si>
    <t>Cell current at operating temperature</t>
  </si>
  <si>
    <r>
      <t>J</t>
    </r>
    <r>
      <rPr>
        <vertAlign val="subscript"/>
        <sz val="10"/>
        <rFont val="Arial"/>
        <family val="2"/>
      </rPr>
      <t>mp</t>
    </r>
  </si>
  <si>
    <t xml:space="preserve">Cell Max Power Current </t>
  </si>
  <si>
    <r>
      <t>mA/cm</t>
    </r>
    <r>
      <rPr>
        <vertAlign val="superscript"/>
        <sz val="10"/>
        <rFont val="Arial"/>
        <family val="2"/>
      </rPr>
      <t>2</t>
    </r>
  </si>
  <si>
    <t>mA</t>
  </si>
  <si>
    <t>Off pointing degradation</t>
  </si>
  <si>
    <t>Solar Constant</t>
  </si>
  <si>
    <r>
      <t>W/m</t>
    </r>
    <r>
      <rPr>
        <vertAlign val="superscript"/>
        <sz val="10"/>
        <rFont val="Arial"/>
        <family val="2"/>
      </rPr>
      <t>2</t>
    </r>
  </si>
  <si>
    <t>Required Array Cell Area</t>
  </si>
  <si>
    <t>Unitless</t>
  </si>
  <si>
    <t>Depth of Discharge</t>
  </si>
  <si>
    <t>NiCad</t>
  </si>
  <si>
    <t>NiCad Super</t>
  </si>
  <si>
    <t>NiH</t>
  </si>
  <si>
    <t>Lithium Ion</t>
  </si>
  <si>
    <t>Chemistry</t>
  </si>
  <si>
    <t>NiCa</t>
  </si>
  <si>
    <t>Li</t>
  </si>
  <si>
    <t>Volume Energy Density</t>
  </si>
  <si>
    <r>
      <t>Wh/dm</t>
    </r>
    <r>
      <rPr>
        <b/>
        <vertAlign val="superscript"/>
        <sz val="10"/>
        <color indexed="9"/>
        <rFont val="Arial"/>
        <family val="2"/>
      </rPr>
      <t>3</t>
    </r>
  </si>
  <si>
    <t>Cycles at DOD</t>
  </si>
  <si>
    <t>Min Temp</t>
  </si>
  <si>
    <t>Max T</t>
  </si>
  <si>
    <r>
      <t>Wh/dm</t>
    </r>
    <r>
      <rPr>
        <vertAlign val="superscript"/>
        <sz val="10"/>
        <rFont val="Arial"/>
        <family val="2"/>
      </rPr>
      <t>3</t>
    </r>
  </si>
  <si>
    <t>Max Cycle Life @ DOD</t>
  </si>
  <si>
    <t>Discharge Voltage</t>
  </si>
  <si>
    <t>Charge Voltage</t>
  </si>
  <si>
    <t>?</t>
  </si>
  <si>
    <t>Cell Capacity (database)</t>
  </si>
  <si>
    <t>Battery Calculations</t>
  </si>
  <si>
    <t>Battery Selection</t>
  </si>
  <si>
    <t>Total # of Cells in Array</t>
  </si>
  <si>
    <t>Max Battery Voltage (Charge)</t>
  </si>
  <si>
    <t>Solar Array/Battery Voltage Ratio</t>
  </si>
  <si>
    <t>Design Battery Mass</t>
  </si>
  <si>
    <t>Design Battery Volume</t>
  </si>
  <si>
    <r>
      <t>dm</t>
    </r>
    <r>
      <rPr>
        <vertAlign val="superscript"/>
        <sz val="10"/>
        <rFont val="Arial"/>
        <family val="2"/>
      </rPr>
      <t>3</t>
    </r>
  </si>
  <si>
    <t>Solar Panel Area</t>
  </si>
  <si>
    <r>
      <t>#/cm</t>
    </r>
    <r>
      <rPr>
        <vertAlign val="superscript"/>
        <sz val="10"/>
        <rFont val="Arial"/>
        <family val="2"/>
      </rPr>
      <t>2</t>
    </r>
  </si>
  <si>
    <t>Design BOL Power (no losses @ 28°C)</t>
  </si>
  <si>
    <r>
      <t>T</t>
    </r>
    <r>
      <rPr>
        <vertAlign val="subscript"/>
        <sz val="10"/>
        <rFont val="Arial"/>
        <family val="2"/>
      </rPr>
      <t>op</t>
    </r>
  </si>
  <si>
    <r>
      <t>Design EOL Power (all losses @ T</t>
    </r>
    <r>
      <rPr>
        <vertAlign val="subscript"/>
        <sz val="10"/>
        <rFont val="Arial"/>
        <family val="2"/>
      </rPr>
      <t>op</t>
    </r>
    <r>
      <rPr>
        <sz val="10"/>
        <rFont val="Arial"/>
        <family val="2"/>
      </rPr>
      <t>)</t>
    </r>
  </si>
  <si>
    <t>Cell Power Efficiency</t>
  </si>
  <si>
    <t>Max Beta Angle</t>
  </si>
  <si>
    <t>Percent in Max Eclipse</t>
  </si>
  <si>
    <t>cycles</t>
  </si>
  <si>
    <t>Max Eclipse Duration</t>
  </si>
  <si>
    <t>Minimum Sun Duration</t>
  </si>
  <si>
    <t>b</t>
  </si>
  <si>
    <r>
      <t>b</t>
    </r>
    <r>
      <rPr>
        <vertAlign val="subscript"/>
        <sz val="10"/>
        <rFont val="Calibri"/>
        <family val="2"/>
        <scheme val="minor"/>
      </rPr>
      <t>max</t>
    </r>
  </si>
  <si>
    <r>
      <t>T</t>
    </r>
    <r>
      <rPr>
        <vertAlign val="subscript"/>
        <sz val="10"/>
        <rFont val="Arial"/>
        <family val="2"/>
      </rPr>
      <t>eclipse</t>
    </r>
  </si>
  <si>
    <r>
      <t>T</t>
    </r>
    <r>
      <rPr>
        <vertAlign val="subscript"/>
        <sz val="10"/>
        <rFont val="Arial"/>
        <family val="2"/>
      </rPr>
      <t>sun</t>
    </r>
  </si>
  <si>
    <r>
      <t>T</t>
    </r>
    <r>
      <rPr>
        <vertAlign val="subscript"/>
        <sz val="10"/>
        <rFont val="Arial"/>
        <family val="2"/>
      </rPr>
      <t>eclipse_max</t>
    </r>
  </si>
  <si>
    <r>
      <t>T</t>
    </r>
    <r>
      <rPr>
        <vertAlign val="subscript"/>
        <sz val="10"/>
        <rFont val="Arial"/>
        <family val="2"/>
      </rPr>
      <t>sun_min</t>
    </r>
  </si>
  <si>
    <r>
      <t>D</t>
    </r>
    <r>
      <rPr>
        <vertAlign val="subscript"/>
        <sz val="10"/>
        <rFont val="Arial"/>
        <family val="2"/>
      </rPr>
      <t>rad</t>
    </r>
  </si>
  <si>
    <r>
      <t>N</t>
    </r>
    <r>
      <rPr>
        <vertAlign val="subscript"/>
        <sz val="10"/>
        <rFont val="Arial"/>
        <family val="2"/>
      </rPr>
      <t>cells</t>
    </r>
  </si>
  <si>
    <r>
      <t>k</t>
    </r>
    <r>
      <rPr>
        <vertAlign val="subscript"/>
        <sz val="10"/>
        <rFont val="Arial"/>
        <family val="2"/>
      </rPr>
      <t>Jmp</t>
    </r>
  </si>
  <si>
    <r>
      <t>D</t>
    </r>
    <r>
      <rPr>
        <vertAlign val="subscript"/>
        <sz val="10"/>
        <rFont val="Arial"/>
        <family val="2"/>
      </rPr>
      <t>rad15</t>
    </r>
  </si>
  <si>
    <r>
      <t>T</t>
    </r>
    <r>
      <rPr>
        <vertAlign val="subscript"/>
        <sz val="10"/>
        <rFont val="Arial"/>
        <family val="2"/>
      </rPr>
      <t>ref</t>
    </r>
  </si>
  <si>
    <r>
      <t>V</t>
    </r>
    <r>
      <rPr>
        <vertAlign val="subscript"/>
        <sz val="10"/>
        <rFont val="Arial"/>
        <family val="2"/>
      </rPr>
      <t>op</t>
    </r>
  </si>
  <si>
    <r>
      <t>I</t>
    </r>
    <r>
      <rPr>
        <vertAlign val="subscript"/>
        <sz val="10"/>
        <rFont val="Arial"/>
        <family val="2"/>
      </rPr>
      <t>op</t>
    </r>
  </si>
  <si>
    <r>
      <t>k</t>
    </r>
    <r>
      <rPr>
        <vertAlign val="subscript"/>
        <sz val="10"/>
        <rFont val="Arial"/>
        <family val="2"/>
      </rPr>
      <t>Vmp</t>
    </r>
  </si>
  <si>
    <r>
      <t>t</t>
    </r>
    <r>
      <rPr>
        <vertAlign val="subscript"/>
        <sz val="10"/>
        <rFont val="Arial"/>
        <family val="2"/>
      </rPr>
      <t>mission</t>
    </r>
  </si>
  <si>
    <r>
      <t>P</t>
    </r>
    <r>
      <rPr>
        <vertAlign val="subscript"/>
        <sz val="10"/>
        <rFont val="Arial"/>
        <family val="2"/>
      </rPr>
      <t>load</t>
    </r>
  </si>
  <si>
    <r>
      <t>V</t>
    </r>
    <r>
      <rPr>
        <vertAlign val="subscript"/>
        <sz val="10"/>
        <rFont val="Arial"/>
        <family val="2"/>
      </rPr>
      <t>bus</t>
    </r>
  </si>
  <si>
    <r>
      <t>F</t>
    </r>
    <r>
      <rPr>
        <vertAlign val="subscript"/>
        <sz val="10"/>
        <rFont val="Arial"/>
        <family val="2"/>
      </rPr>
      <t>rad</t>
    </r>
  </si>
  <si>
    <r>
      <rPr>
        <sz val="10"/>
        <rFont val="Symbol"/>
        <family val="1"/>
        <charset val="2"/>
      </rPr>
      <t>q</t>
    </r>
    <r>
      <rPr>
        <vertAlign val="subscript"/>
        <sz val="10"/>
        <rFont val="Calibri"/>
        <family val="2"/>
        <scheme val="minor"/>
      </rPr>
      <t>point</t>
    </r>
  </si>
  <si>
    <r>
      <t>D</t>
    </r>
    <r>
      <rPr>
        <vertAlign val="subscript"/>
        <sz val="10"/>
        <rFont val="Arial"/>
        <family val="2"/>
      </rPr>
      <t>temp</t>
    </r>
  </si>
  <si>
    <r>
      <t>D</t>
    </r>
    <r>
      <rPr>
        <vertAlign val="subscript"/>
        <sz val="10"/>
        <rFont val="Arial"/>
        <family val="2"/>
      </rPr>
      <t>point</t>
    </r>
  </si>
  <si>
    <r>
      <t>P</t>
    </r>
    <r>
      <rPr>
        <vertAlign val="subscript"/>
        <sz val="10"/>
        <rFont val="Arial"/>
        <family val="2"/>
      </rPr>
      <t>BOL</t>
    </r>
  </si>
  <si>
    <r>
      <t>P</t>
    </r>
    <r>
      <rPr>
        <vertAlign val="subscript"/>
        <sz val="10"/>
        <rFont val="Arial"/>
        <family val="2"/>
      </rPr>
      <t>EOL</t>
    </r>
  </si>
  <si>
    <r>
      <t>A</t>
    </r>
    <r>
      <rPr>
        <vertAlign val="subscript"/>
        <sz val="10"/>
        <rFont val="Arial"/>
        <family val="2"/>
      </rPr>
      <t>panel</t>
    </r>
  </si>
  <si>
    <r>
      <t>C</t>
    </r>
    <r>
      <rPr>
        <vertAlign val="subscript"/>
        <sz val="10"/>
        <rFont val="Arial"/>
        <family val="2"/>
      </rPr>
      <t>bat</t>
    </r>
  </si>
  <si>
    <r>
      <t>m</t>
    </r>
    <r>
      <rPr>
        <vertAlign val="subscript"/>
        <sz val="10"/>
        <rFont val="Arial"/>
        <family val="2"/>
      </rPr>
      <t>bat</t>
    </r>
  </si>
  <si>
    <r>
      <t>v</t>
    </r>
    <r>
      <rPr>
        <vertAlign val="subscript"/>
        <sz val="10"/>
        <rFont val="Arial"/>
        <family val="2"/>
      </rPr>
      <t>bat</t>
    </r>
  </si>
  <si>
    <r>
      <t>N</t>
    </r>
    <r>
      <rPr>
        <vertAlign val="subscript"/>
        <sz val="10"/>
        <rFont val="Arial"/>
        <family val="2"/>
      </rPr>
      <t>cyc</t>
    </r>
  </si>
  <si>
    <t>Database</t>
  </si>
  <si>
    <r>
      <t>Degradation, 10</t>
    </r>
    <r>
      <rPr>
        <vertAlign val="superscript"/>
        <sz val="10"/>
        <rFont val="Arial"/>
        <family val="2"/>
      </rPr>
      <t>15</t>
    </r>
    <r>
      <rPr>
        <sz val="10"/>
        <rFont val="Arial"/>
        <family val="2"/>
      </rPr>
      <t xml:space="preserve"> cm</t>
    </r>
    <r>
      <rPr>
        <vertAlign val="superscript"/>
        <sz val="10"/>
        <rFont val="Arial"/>
        <family val="2"/>
      </rPr>
      <t xml:space="preserve">-2 </t>
    </r>
    <r>
      <rPr>
        <sz val="10"/>
        <rFont val="Arial"/>
        <family val="2"/>
      </rPr>
      <t>1-Mev Electrons</t>
    </r>
  </si>
  <si>
    <t>Design Panel Area</t>
  </si>
  <si>
    <r>
      <t>Design Panel Voltage ( @ T</t>
    </r>
    <r>
      <rPr>
        <vertAlign val="subscript"/>
        <sz val="10"/>
        <rFont val="Arial"/>
        <family val="2"/>
      </rPr>
      <t xml:space="preserve">op </t>
    </r>
    <r>
      <rPr>
        <sz val="10"/>
        <rFont val="Arial"/>
        <family val="2"/>
      </rPr>
      <t>)</t>
    </r>
  </si>
  <si>
    <t>Design Panel Voltage ( @ 28°C)</t>
  </si>
  <si>
    <r>
      <t>Design EOL Current (all losses @ T</t>
    </r>
    <r>
      <rPr>
        <vertAlign val="subscript"/>
        <sz val="10"/>
        <rFont val="Arial"/>
        <family val="2"/>
      </rPr>
      <t>op</t>
    </r>
    <r>
      <rPr>
        <sz val="10"/>
        <rFont val="Arial"/>
        <family val="2"/>
      </rPr>
      <t>)</t>
    </r>
  </si>
  <si>
    <t>Design BOL Current (no losses @ 28°C)</t>
  </si>
  <si>
    <t>Varta</t>
  </si>
  <si>
    <t>PLF 503579D</t>
  </si>
  <si>
    <t>CGR18650CF</t>
  </si>
  <si>
    <t>Panasonic</t>
  </si>
  <si>
    <t>XTJ PRIME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</si>
</sst>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
  </numFmts>
  <fonts count="18" x14ac:knownFonts="1">
    <font>
      <sz val="10"/>
      <name val="Arial"/>
      <family val="2"/>
    </font>
    <font>
      <sz val="10"/>
      <name val="Arial"/>
      <family val="2"/>
    </font>
    <font>
      <sz val="10"/>
      <color indexed="8"/>
      <name val="Arial"/>
      <family val="2"/>
    </font>
    <font>
      <b/>
      <i/>
      <sz val="20"/>
      <name val="Arial"/>
      <family val="2"/>
    </font>
    <font>
      <b/>
      <sz val="10"/>
      <color indexed="9"/>
      <name val="Arial"/>
      <family val="2"/>
    </font>
    <font>
      <sz val="10"/>
      <color indexed="8"/>
      <name val="Arial"/>
      <family val="2"/>
    </font>
    <font>
      <vertAlign val="superscript"/>
      <sz val="10"/>
      <name val="Arial"/>
      <family val="2"/>
    </font>
    <font>
      <sz val="10"/>
      <color indexed="9"/>
      <name val="Arial"/>
      <family val="2"/>
    </font>
    <font>
      <sz val="10"/>
      <name val="Arial"/>
      <family val="2"/>
    </font>
    <font>
      <b/>
      <i/>
      <sz val="16"/>
      <name val="Arial"/>
      <family val="2"/>
    </font>
    <font>
      <sz val="10"/>
      <name val="Symbol"/>
      <family val="1"/>
      <charset val="2"/>
    </font>
    <font>
      <vertAlign val="subscript"/>
      <sz val="10"/>
      <name val="Arial"/>
      <family val="2"/>
    </font>
    <font>
      <b/>
      <sz val="8"/>
      <color indexed="81"/>
      <name val="Tahoma"/>
      <family val="2"/>
    </font>
    <font>
      <sz val="8"/>
      <color indexed="81"/>
      <name val="Tahoma"/>
      <family val="2"/>
    </font>
    <font>
      <sz val="9"/>
      <color indexed="81"/>
      <name val="Tahoma"/>
      <family val="2"/>
    </font>
    <font>
      <b/>
      <sz val="9"/>
      <color indexed="81"/>
      <name val="Tahoma"/>
      <family val="2"/>
    </font>
    <font>
      <b/>
      <vertAlign val="superscript"/>
      <sz val="10"/>
      <color indexed="9"/>
      <name val="Arial"/>
      <family val="2"/>
    </font>
    <font>
      <vertAlign val="subscript"/>
      <sz val="10"/>
      <name val="Calibri"/>
      <family val="2"/>
      <scheme val="minor"/>
    </font>
  </fonts>
  <fills count="7">
    <fill>
      <patternFill patternType="none"/>
    </fill>
    <fill>
      <patternFill patternType="gray125"/>
    </fill>
    <fill>
      <patternFill patternType="solid">
        <fgColor indexed="47"/>
        <bgColor indexed="64"/>
      </patternFill>
    </fill>
    <fill>
      <patternFill patternType="solid">
        <fgColor indexed="21"/>
        <bgColor indexed="64"/>
      </patternFill>
    </fill>
    <fill>
      <patternFill patternType="solid">
        <fgColor indexed="41"/>
        <bgColor indexed="64"/>
      </patternFill>
    </fill>
    <fill>
      <patternFill patternType="solid">
        <fgColor indexed="43"/>
        <bgColor indexed="64"/>
      </patternFill>
    </fill>
    <fill>
      <patternFill patternType="solid">
        <fgColor theme="4" tint="0.39997558519241921"/>
        <bgColor indexed="64"/>
      </patternFill>
    </fill>
  </fills>
  <borders count="36">
    <border>
      <left/>
      <right/>
      <top/>
      <bottom/>
      <diagonal/>
    </border>
    <border>
      <left/>
      <right/>
      <top style="hair">
        <color indexed="64"/>
      </top>
      <bottom style="hair">
        <color indexed="64"/>
      </bottom>
      <diagonal/>
    </border>
    <border>
      <left/>
      <right/>
      <top style="medium">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top style="hair">
        <color indexed="64"/>
      </top>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diagonal/>
    </border>
    <border>
      <left/>
      <right style="medium">
        <color indexed="64"/>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7">
    <xf numFmtId="0" fontId="0" fillId="0" borderId="0"/>
    <xf numFmtId="164" fontId="2" fillId="2" borderId="1"/>
    <xf numFmtId="0" fontId="8" fillId="6" borderId="0"/>
    <xf numFmtId="0" fontId="4" fillId="3" borderId="2">
      <alignment horizontal="center"/>
    </xf>
    <xf numFmtId="9" fontId="1" fillId="0" borderId="0" applyFont="0" applyFill="0" applyBorder="0" applyAlignment="0" applyProtection="0"/>
    <xf numFmtId="0" fontId="8" fillId="4" borderId="1"/>
    <xf numFmtId="0" fontId="8" fillId="5" borderId="1"/>
  </cellStyleXfs>
  <cellXfs count="161">
    <xf numFmtId="0" fontId="0" fillId="0" borderId="0" xfId="0"/>
    <xf numFmtId="0" fontId="0" fillId="0" borderId="0" xfId="0" applyAlignment="1">
      <alignment horizontal="center"/>
    </xf>
    <xf numFmtId="0" fontId="2" fillId="0" borderId="0" xfId="0" applyFont="1"/>
    <xf numFmtId="0" fontId="3" fillId="0" borderId="0" xfId="0" applyFont="1"/>
    <xf numFmtId="0" fontId="0" fillId="4" borderId="4" xfId="0" applyFill="1" applyBorder="1"/>
    <xf numFmtId="0" fontId="4" fillId="3" borderId="7" xfId="0" applyFont="1" applyFill="1" applyBorder="1" applyAlignment="1">
      <alignment horizontal="center"/>
    </xf>
    <xf numFmtId="0" fontId="4" fillId="3" borderId="2" xfId="0" applyFont="1" applyFill="1" applyBorder="1" applyAlignment="1">
      <alignment horizontal="center"/>
    </xf>
    <xf numFmtId="0" fontId="4" fillId="3" borderId="8" xfId="0" applyFont="1" applyFill="1" applyBorder="1" applyAlignment="1">
      <alignment horizontal="center"/>
    </xf>
    <xf numFmtId="0" fontId="5" fillId="0" borderId="0" xfId="0" applyFont="1"/>
    <xf numFmtId="0" fontId="7" fillId="0" borderId="0" xfId="0" applyFont="1"/>
    <xf numFmtId="164" fontId="2" fillId="2" borderId="1" xfId="1"/>
    <xf numFmtId="0" fontId="8" fillId="4" borderId="1" xfId="5"/>
    <xf numFmtId="0" fontId="8" fillId="5" borderId="1" xfId="6"/>
    <xf numFmtId="0" fontId="9" fillId="0" borderId="0" xfId="0" applyFont="1"/>
    <xf numFmtId="0" fontId="4" fillId="3" borderId="2" xfId="3">
      <alignment horizontal="center"/>
    </xf>
    <xf numFmtId="0" fontId="8" fillId="4" borderId="13" xfId="5" applyBorder="1"/>
    <xf numFmtId="0" fontId="0" fillId="6" borderId="0" xfId="0" applyFill="1" applyBorder="1"/>
    <xf numFmtId="0" fontId="8" fillId="6" borderId="0" xfId="2"/>
    <xf numFmtId="0" fontId="0" fillId="4" borderId="14" xfId="0" applyFill="1" applyBorder="1"/>
    <xf numFmtId="0" fontId="10" fillId="4" borderId="15" xfId="0" applyFont="1" applyFill="1" applyBorder="1" applyAlignment="1">
      <alignment horizontal="center"/>
    </xf>
    <xf numFmtId="0" fontId="0" fillId="4" borderId="15" xfId="0" applyFill="1" applyBorder="1"/>
    <xf numFmtId="0" fontId="0" fillId="4" borderId="16" xfId="0" applyFill="1" applyBorder="1"/>
    <xf numFmtId="0" fontId="0" fillId="4" borderId="17" xfId="0" applyFill="1" applyBorder="1"/>
    <xf numFmtId="0" fontId="0" fillId="4" borderId="18" xfId="0" applyFill="1" applyBorder="1" applyAlignment="1">
      <alignment horizontal="center"/>
    </xf>
    <xf numFmtId="0" fontId="0" fillId="4" borderId="18" xfId="0" applyFill="1" applyBorder="1"/>
    <xf numFmtId="0" fontId="0" fillId="4" borderId="19" xfId="0" applyFill="1" applyBorder="1"/>
    <xf numFmtId="0" fontId="0" fillId="0" borderId="0" xfId="0" applyFill="1"/>
    <xf numFmtId="0" fontId="0" fillId="5" borderId="18" xfId="0" applyFill="1" applyBorder="1"/>
    <xf numFmtId="0" fontId="0" fillId="4" borderId="20" xfId="0" applyFill="1" applyBorder="1"/>
    <xf numFmtId="0" fontId="0" fillId="4" borderId="1" xfId="0" applyFill="1" applyBorder="1" applyAlignment="1">
      <alignment horizontal="center"/>
    </xf>
    <xf numFmtId="0" fontId="0" fillId="5" borderId="1" xfId="0" applyFill="1" applyBorder="1"/>
    <xf numFmtId="0" fontId="0" fillId="4" borderId="21" xfId="0" applyFill="1" applyBorder="1"/>
    <xf numFmtId="0" fontId="0" fillId="2" borderId="1" xfId="0" applyFill="1" applyBorder="1"/>
    <xf numFmtId="0" fontId="0" fillId="4" borderId="22" xfId="0" applyFill="1" applyBorder="1"/>
    <xf numFmtId="0" fontId="0" fillId="4" borderId="13" xfId="0" applyFill="1" applyBorder="1" applyAlignment="1">
      <alignment horizontal="center"/>
    </xf>
    <xf numFmtId="0" fontId="0" fillId="2" borderId="13" xfId="0" applyFill="1" applyBorder="1"/>
    <xf numFmtId="0" fontId="0" fillId="4" borderId="23" xfId="0" applyFill="1" applyBorder="1"/>
    <xf numFmtId="164" fontId="0" fillId="2" borderId="13" xfId="0" applyNumberFormat="1" applyFill="1" applyBorder="1"/>
    <xf numFmtId="0" fontId="10" fillId="4" borderId="13" xfId="0" applyFont="1" applyFill="1" applyBorder="1" applyAlignment="1">
      <alignment horizontal="center"/>
    </xf>
    <xf numFmtId="2" fontId="0" fillId="2" borderId="13" xfId="0" applyNumberFormat="1" applyFill="1" applyBorder="1"/>
    <xf numFmtId="2" fontId="0" fillId="2" borderId="1" xfId="0" applyNumberFormat="1" applyFill="1" applyBorder="1"/>
    <xf numFmtId="0" fontId="0" fillId="4" borderId="24" xfId="0" applyFill="1" applyBorder="1"/>
    <xf numFmtId="0" fontId="0" fillId="4" borderId="25" xfId="0" applyFill="1" applyBorder="1" applyAlignment="1">
      <alignment horizontal="center"/>
    </xf>
    <xf numFmtId="2" fontId="0" fillId="2" borderId="25" xfId="0" applyNumberFormat="1" applyFill="1" applyBorder="1"/>
    <xf numFmtId="0" fontId="0" fillId="4" borderId="26" xfId="0" applyFill="1" applyBorder="1"/>
    <xf numFmtId="0" fontId="0" fillId="0" borderId="0" xfId="0" applyFont="1"/>
    <xf numFmtId="0" fontId="8" fillId="5" borderId="1" xfId="6" applyBorder="1"/>
    <xf numFmtId="0" fontId="8" fillId="4" borderId="21" xfId="5" applyBorder="1"/>
    <xf numFmtId="165" fontId="2" fillId="2" borderId="1" xfId="1" applyNumberFormat="1" applyBorder="1"/>
    <xf numFmtId="0" fontId="8" fillId="4" borderId="26" xfId="5" applyBorder="1"/>
    <xf numFmtId="1" fontId="2" fillId="2" borderId="1" xfId="1" applyNumberFormat="1"/>
    <xf numFmtId="0" fontId="0" fillId="4" borderId="21" xfId="5" applyFont="1" applyBorder="1"/>
    <xf numFmtId="9" fontId="2" fillId="2" borderId="1" xfId="4" applyFont="1" applyFill="1" applyBorder="1"/>
    <xf numFmtId="0" fontId="8" fillId="4" borderId="21" xfId="5" applyBorder="1" applyAlignment="1">
      <alignment horizontal="left"/>
    </xf>
    <xf numFmtId="0" fontId="0" fillId="4" borderId="21" xfId="5" applyFont="1" applyBorder="1" applyAlignment="1">
      <alignment horizontal="left"/>
    </xf>
    <xf numFmtId="0" fontId="8" fillId="5" borderId="25" xfId="6" applyBorder="1"/>
    <xf numFmtId="0" fontId="0" fillId="4" borderId="1" xfId="5" applyFont="1"/>
    <xf numFmtId="0" fontId="0" fillId="6" borderId="0" xfId="2" applyFont="1"/>
    <xf numFmtId="166" fontId="8" fillId="6" borderId="0" xfId="4" applyNumberFormat="1" applyFont="1" applyFill="1"/>
    <xf numFmtId="2" fontId="8" fillId="6" borderId="0" xfId="2" applyNumberFormat="1"/>
    <xf numFmtId="0" fontId="4" fillId="3" borderId="2" xfId="3" applyBorder="1">
      <alignment horizontal="center"/>
    </xf>
    <xf numFmtId="0" fontId="4" fillId="3" borderId="30" xfId="3" applyBorder="1">
      <alignment horizontal="center"/>
    </xf>
    <xf numFmtId="0" fontId="4" fillId="3" borderId="31" xfId="3" applyBorder="1">
      <alignment horizontal="center"/>
    </xf>
    <xf numFmtId="0" fontId="8" fillId="6" borderId="10" xfId="2" applyBorder="1"/>
    <xf numFmtId="0" fontId="8" fillId="6" borderId="32" xfId="2" applyBorder="1"/>
    <xf numFmtId="0" fontId="8" fillId="6" borderId="0" xfId="2" applyBorder="1"/>
    <xf numFmtId="0" fontId="8" fillId="6" borderId="11" xfId="2" applyBorder="1"/>
    <xf numFmtId="0" fontId="8" fillId="6" borderId="9" xfId="2" applyBorder="1"/>
    <xf numFmtId="0" fontId="8" fillId="6" borderId="33" xfId="2" applyBorder="1"/>
    <xf numFmtId="2" fontId="8" fillId="6" borderId="10" xfId="2" applyNumberFormat="1" applyBorder="1"/>
    <xf numFmtId="2" fontId="8" fillId="6" borderId="0" xfId="2" applyNumberFormat="1" applyBorder="1"/>
    <xf numFmtId="2" fontId="8" fillId="6" borderId="11" xfId="2" applyNumberFormat="1" applyBorder="1"/>
    <xf numFmtId="2" fontId="8" fillId="6" borderId="32" xfId="2" applyNumberFormat="1" applyBorder="1"/>
    <xf numFmtId="2" fontId="8" fillId="6" borderId="9" xfId="2" applyNumberFormat="1" applyBorder="1"/>
    <xf numFmtId="2" fontId="8" fillId="6" borderId="33" xfId="2" applyNumberFormat="1" applyBorder="1"/>
    <xf numFmtId="0" fontId="4" fillId="3" borderId="34" xfId="3" applyBorder="1" applyAlignment="1">
      <alignment horizontal="center"/>
    </xf>
    <xf numFmtId="0" fontId="4" fillId="3" borderId="12" xfId="3" applyBorder="1" applyAlignment="1">
      <alignment horizontal="center"/>
    </xf>
    <xf numFmtId="0" fontId="4" fillId="3" borderId="35" xfId="3" applyBorder="1" applyAlignment="1">
      <alignment horizontal="center"/>
    </xf>
    <xf numFmtId="0" fontId="8" fillId="4" borderId="24" xfId="5" applyBorder="1"/>
    <xf numFmtId="0" fontId="4" fillId="3" borderId="2" xfId="3" applyAlignment="1">
      <alignment horizontal="right"/>
    </xf>
    <xf numFmtId="0" fontId="0" fillId="0" borderId="0" xfId="0" applyBorder="1"/>
    <xf numFmtId="0" fontId="9" fillId="0" borderId="0" xfId="0" applyFont="1" applyBorder="1"/>
    <xf numFmtId="0" fontId="7" fillId="0" borderId="0" xfId="0" applyFont="1" applyBorder="1"/>
    <xf numFmtId="165" fontId="8" fillId="6" borderId="10" xfId="2" applyNumberFormat="1" applyBorder="1"/>
    <xf numFmtId="165" fontId="8" fillId="6" borderId="32" xfId="2" applyNumberFormat="1" applyBorder="1"/>
    <xf numFmtId="0" fontId="0" fillId="4" borderId="21" xfId="5" applyFont="1" applyBorder="1" applyAlignment="1">
      <alignment vertical="center"/>
    </xf>
    <xf numFmtId="0" fontId="8" fillId="4" borderId="21" xfId="5" applyBorder="1" applyAlignment="1">
      <alignment vertical="center"/>
    </xf>
    <xf numFmtId="0" fontId="1" fillId="4" borderId="21" xfId="5" applyFont="1" applyBorder="1" applyAlignment="1">
      <alignment vertical="center"/>
    </xf>
    <xf numFmtId="0" fontId="8" fillId="4" borderId="26" xfId="5" applyBorder="1" applyAlignment="1">
      <alignment vertical="center"/>
    </xf>
    <xf numFmtId="2" fontId="2" fillId="2" borderId="1" xfId="1" applyNumberFormat="1" applyBorder="1"/>
    <xf numFmtId="1" fontId="2" fillId="2" borderId="25" xfId="1" applyNumberFormat="1" applyBorder="1"/>
    <xf numFmtId="1" fontId="8" fillId="6" borderId="0" xfId="2" applyNumberFormat="1"/>
    <xf numFmtId="0" fontId="8" fillId="6" borderId="0" xfId="2" applyAlignment="1">
      <alignment horizontal="center"/>
    </xf>
    <xf numFmtId="165" fontId="8" fillId="6" borderId="0" xfId="2" applyNumberFormat="1" applyAlignment="1">
      <alignment horizontal="center"/>
    </xf>
    <xf numFmtId="9" fontId="0" fillId="6" borderId="0" xfId="2" applyNumberFormat="1" applyFont="1"/>
    <xf numFmtId="9" fontId="8" fillId="6" borderId="0" xfId="2" applyNumberFormat="1"/>
    <xf numFmtId="3" fontId="0" fillId="6" borderId="0" xfId="2" applyNumberFormat="1" applyFont="1"/>
    <xf numFmtId="3" fontId="8" fillId="6" borderId="0" xfId="2" applyNumberFormat="1"/>
    <xf numFmtId="0" fontId="0" fillId="4" borderId="26" xfId="5" applyFont="1" applyBorder="1"/>
    <xf numFmtId="1" fontId="0" fillId="6" borderId="0" xfId="2" applyNumberFormat="1" applyFont="1" applyAlignment="1">
      <alignment horizontal="center"/>
    </xf>
    <xf numFmtId="3" fontId="0" fillId="6" borderId="0" xfId="2" applyNumberFormat="1" applyFont="1" applyAlignment="1">
      <alignment horizontal="center"/>
    </xf>
    <xf numFmtId="3" fontId="8" fillId="6" borderId="0" xfId="2" applyNumberFormat="1" applyAlignment="1">
      <alignment horizontal="center"/>
    </xf>
    <xf numFmtId="0" fontId="1" fillId="4" borderId="20" xfId="5" applyFont="1" applyBorder="1"/>
    <xf numFmtId="0" fontId="1" fillId="4" borderId="21" xfId="5" applyFont="1" applyBorder="1"/>
    <xf numFmtId="0" fontId="1" fillId="4" borderId="24" xfId="5" applyFont="1" applyBorder="1"/>
    <xf numFmtId="0" fontId="0" fillId="4" borderId="26" xfId="5" applyFont="1" applyBorder="1" applyAlignment="1">
      <alignment vertical="center"/>
    </xf>
    <xf numFmtId="165" fontId="0" fillId="0" borderId="0" xfId="0" applyNumberFormat="1" applyFont="1"/>
    <xf numFmtId="9" fontId="0" fillId="0" borderId="0" xfId="4" applyFont="1"/>
    <xf numFmtId="11" fontId="0" fillId="4" borderId="18" xfId="0" applyNumberFormat="1" applyFill="1" applyBorder="1"/>
    <xf numFmtId="0" fontId="0" fillId="4" borderId="5" xfId="0" applyFill="1" applyBorder="1" applyAlignment="1">
      <alignment horizontal="center"/>
    </xf>
    <xf numFmtId="0" fontId="0" fillId="4" borderId="5" xfId="0" applyFill="1" applyBorder="1"/>
    <xf numFmtId="0" fontId="0" fillId="4" borderId="6" xfId="0" applyFill="1" applyBorder="1" applyAlignment="1">
      <alignment vertical="center"/>
    </xf>
    <xf numFmtId="0" fontId="0" fillId="4" borderId="20" xfId="5" applyFont="1" applyBorder="1" applyAlignment="1">
      <alignment vertical="center"/>
    </xf>
    <xf numFmtId="0" fontId="8" fillId="4" borderId="1" xfId="5" applyBorder="1" applyAlignment="1">
      <alignment vertical="center"/>
    </xf>
    <xf numFmtId="2" fontId="2" fillId="2" borderId="1" xfId="4" applyNumberFormat="1" applyFont="1" applyFill="1" applyBorder="1" applyAlignment="1">
      <alignment vertical="center"/>
    </xf>
    <xf numFmtId="165" fontId="2" fillId="2" borderId="1" xfId="1" applyNumberFormat="1" applyBorder="1" applyAlignment="1">
      <alignment vertical="center"/>
    </xf>
    <xf numFmtId="9" fontId="2" fillId="2" borderId="1" xfId="4" applyFont="1" applyFill="1" applyBorder="1" applyAlignment="1">
      <alignment vertical="center"/>
    </xf>
    <xf numFmtId="9" fontId="0" fillId="4" borderId="21" xfId="4" applyFont="1" applyFill="1" applyBorder="1" applyAlignment="1">
      <alignment vertical="center"/>
    </xf>
    <xf numFmtId="0" fontId="8" fillId="4" borderId="20" xfId="5" applyBorder="1" applyAlignment="1">
      <alignment vertical="center"/>
    </xf>
    <xf numFmtId="164" fontId="2" fillId="2" borderId="1" xfId="1" applyBorder="1" applyAlignment="1">
      <alignment vertical="center"/>
    </xf>
    <xf numFmtId="1" fontId="2" fillId="2" borderId="1" xfId="1" applyNumberFormat="1" applyBorder="1" applyAlignment="1">
      <alignment vertical="center"/>
    </xf>
    <xf numFmtId="0" fontId="0" fillId="4" borderId="24" xfId="5" applyFont="1" applyBorder="1" applyAlignment="1">
      <alignment vertical="center"/>
    </xf>
    <xf numFmtId="0" fontId="8" fillId="4" borderId="25" xfId="5" applyBorder="1" applyAlignment="1">
      <alignment vertical="center"/>
    </xf>
    <xf numFmtId="165" fontId="2" fillId="2" borderId="25" xfId="1" applyNumberFormat="1" applyBorder="1" applyAlignment="1">
      <alignment vertical="center"/>
    </xf>
    <xf numFmtId="0" fontId="1" fillId="4" borderId="20" xfId="5" applyFont="1" applyBorder="1" applyAlignment="1">
      <alignment vertical="center"/>
    </xf>
    <xf numFmtId="0" fontId="1" fillId="4" borderId="24" xfId="5" applyFont="1" applyBorder="1" applyAlignment="1">
      <alignment vertical="center"/>
    </xf>
    <xf numFmtId="0" fontId="1" fillId="6" borderId="0" xfId="2" applyFont="1" applyBorder="1" applyAlignment="1">
      <alignment vertical="center"/>
    </xf>
    <xf numFmtId="9" fontId="1" fillId="6" borderId="0" xfId="4" applyFont="1" applyFill="1" applyBorder="1" applyAlignment="1">
      <alignment vertical="center"/>
    </xf>
    <xf numFmtId="0" fontId="0" fillId="4" borderId="1" xfId="5" applyFont="1" applyBorder="1" applyAlignment="1">
      <alignment horizontal="center" vertical="center"/>
    </xf>
    <xf numFmtId="164" fontId="1" fillId="6" borderId="0" xfId="2" applyNumberFormat="1" applyFont="1" applyBorder="1" applyAlignment="1">
      <alignment vertical="center"/>
    </xf>
    <xf numFmtId="165" fontId="1" fillId="6" borderId="0" xfId="2" applyNumberFormat="1" applyFont="1" applyBorder="1" applyAlignment="1">
      <alignment vertical="center"/>
    </xf>
    <xf numFmtId="9" fontId="8" fillId="5" borderId="1" xfId="4" applyFont="1" applyFill="1" applyBorder="1" applyAlignment="1">
      <alignment vertical="center"/>
    </xf>
    <xf numFmtId="0" fontId="8" fillId="5" borderId="1" xfId="4" applyNumberFormat="1" applyFont="1" applyFill="1" applyBorder="1" applyAlignment="1">
      <alignment vertical="center"/>
    </xf>
    <xf numFmtId="0" fontId="8" fillId="5" borderId="1" xfId="6" applyBorder="1" applyAlignment="1">
      <alignment vertical="center"/>
    </xf>
    <xf numFmtId="11" fontId="8" fillId="5" borderId="25" xfId="6" applyNumberFormat="1" applyBorder="1" applyAlignment="1">
      <alignment vertical="center"/>
    </xf>
    <xf numFmtId="0" fontId="0" fillId="4" borderId="3" xfId="0" applyFill="1" applyBorder="1" applyAlignment="1">
      <alignment horizontal="center" vertical="center"/>
    </xf>
    <xf numFmtId="0" fontId="1" fillId="6" borderId="0" xfId="2" applyFont="1" applyBorder="1" applyAlignment="1">
      <alignment horizontal="right" vertical="center"/>
    </xf>
    <xf numFmtId="9" fontId="1" fillId="5" borderId="25" xfId="4" applyFont="1" applyFill="1" applyBorder="1" applyAlignment="1">
      <alignment vertical="center"/>
    </xf>
    <xf numFmtId="0" fontId="8" fillId="4" borderId="20" xfId="5" applyBorder="1"/>
    <xf numFmtId="0" fontId="10" fillId="4" borderId="1" xfId="5" applyFont="1" applyBorder="1" applyAlignment="1">
      <alignment horizontal="center" vertical="center"/>
    </xf>
    <xf numFmtId="0" fontId="8" fillId="4" borderId="1" xfId="5" applyBorder="1" applyAlignment="1">
      <alignment horizontal="center" vertical="center"/>
    </xf>
    <xf numFmtId="0" fontId="1" fillId="4" borderId="26" xfId="5" applyFont="1" applyBorder="1"/>
    <xf numFmtId="0" fontId="0" fillId="4" borderId="25" xfId="5" applyFont="1" applyBorder="1" applyAlignment="1">
      <alignment horizontal="center" vertical="center"/>
    </xf>
    <xf numFmtId="0" fontId="8" fillId="4" borderId="14" xfId="5" applyBorder="1" applyAlignment="1"/>
    <xf numFmtId="0" fontId="8" fillId="4" borderId="20" xfId="5" applyBorder="1" applyAlignment="1"/>
    <xf numFmtId="0" fontId="0" fillId="4" borderId="20" xfId="5" applyFont="1" applyBorder="1" applyAlignment="1"/>
    <xf numFmtId="0" fontId="0" fillId="4" borderId="15" xfId="5" applyFont="1" applyBorder="1" applyAlignment="1">
      <alignment horizontal="center" vertical="center"/>
    </xf>
    <xf numFmtId="166" fontId="1" fillId="6" borderId="0" xfId="4" applyNumberFormat="1" applyFont="1" applyFill="1" applyBorder="1" applyAlignment="1">
      <alignment vertical="center"/>
    </xf>
    <xf numFmtId="0" fontId="1" fillId="6" borderId="0" xfId="4" applyNumberFormat="1" applyFont="1" applyFill="1" applyBorder="1" applyAlignment="1">
      <alignment vertical="center"/>
    </xf>
    <xf numFmtId="2" fontId="1" fillId="6" borderId="0" xfId="4" applyNumberFormat="1" applyFont="1" applyFill="1" applyBorder="1" applyAlignment="1">
      <alignment vertical="center"/>
    </xf>
    <xf numFmtId="3" fontId="1" fillId="6" borderId="0" xfId="2" applyNumberFormat="1" applyFont="1" applyBorder="1" applyAlignment="1">
      <alignment vertical="center"/>
    </xf>
    <xf numFmtId="2" fontId="1" fillId="6" borderId="0" xfId="2" applyNumberFormat="1" applyFont="1" applyBorder="1" applyAlignment="1">
      <alignment vertical="center"/>
    </xf>
    <xf numFmtId="0" fontId="0" fillId="5" borderId="1" xfId="6" applyFont="1" applyBorder="1"/>
    <xf numFmtId="0" fontId="4" fillId="3" borderId="30" xfId="3" applyBorder="1" applyAlignment="1">
      <alignment horizontal="center"/>
    </xf>
    <xf numFmtId="0" fontId="4" fillId="3" borderId="2" xfId="3" applyBorder="1" applyAlignment="1">
      <alignment horizontal="center"/>
    </xf>
    <xf numFmtId="0" fontId="4" fillId="3" borderId="31" xfId="3" applyBorder="1" applyAlignment="1">
      <alignment horizontal="center"/>
    </xf>
    <xf numFmtId="0" fontId="4" fillId="3" borderId="27" xfId="3" applyBorder="1" applyAlignment="1">
      <alignment horizontal="center"/>
    </xf>
    <xf numFmtId="0" fontId="4" fillId="3" borderId="28" xfId="3" applyBorder="1" applyAlignment="1">
      <alignment horizontal="center"/>
    </xf>
    <xf numFmtId="0" fontId="4" fillId="3" borderId="29" xfId="3" applyBorder="1" applyAlignment="1">
      <alignment horizontal="center"/>
    </xf>
    <xf numFmtId="165" fontId="8" fillId="6" borderId="9" xfId="2" applyNumberFormat="1" applyBorder="1"/>
    <xf numFmtId="9" fontId="8" fillId="6" borderId="0" xfId="4" applyFont="1" applyFill="1"/>
  </cellXfs>
  <cellStyles count="7">
    <cellStyle name="Calc value" xfId="1"/>
    <cellStyle name="Data Base" xfId="2"/>
    <cellStyle name="Heading" xfId="3"/>
    <cellStyle name="Normal" xfId="0" builtinId="0" customBuiltin="1"/>
    <cellStyle name="Percent" xfId="4" builtinId="5"/>
    <cellStyle name="Sub Heading" xfId="5"/>
    <cellStyle name="User input"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295099606802034"/>
          <c:y val="3.5031847133757982E-2"/>
        </c:manualLayout>
      </c:layout>
      <c:overlay val="0"/>
      <c:spPr>
        <a:noFill/>
        <a:ln w="25400">
          <a:noFill/>
        </a:ln>
      </c:spPr>
      <c:txPr>
        <a:bodyPr/>
        <a:lstStyle/>
        <a:p>
          <a:pPr>
            <a:defRPr sz="1075"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93129252591549"/>
          <c:y val="0.14012738853503193"/>
          <c:w val="0.78544208243924052"/>
          <c:h val="0.63375796178343968"/>
        </c:manualLayout>
      </c:layout>
      <c:scatterChart>
        <c:scatterStyle val="smoothMarker"/>
        <c:varyColors val="0"/>
        <c:ser>
          <c:idx val="0"/>
          <c:order val="0"/>
          <c:tx>
            <c:strRef>
              <c:f>DOD!$D$2</c:f>
              <c:strCache>
                <c:ptCount val="1"/>
                <c:pt idx="0">
                  <c:v>NiH2</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og"/>
            <c:dispRSqr val="0"/>
            <c:dispEq val="1"/>
            <c:trendlineLbl>
              <c:layout>
                <c:manualLayout>
                  <c:x val="-0.40885135475833095"/>
                  <c:y val="-0.22503702960696798"/>
                </c:manualLayout>
              </c:layout>
              <c:numFmt formatCode="General"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trendlineLbl>
          </c:trendline>
          <c:xVal>
            <c:numRef>
              <c:f>DOD!$E$4:$E$14</c:f>
              <c:numCache>
                <c:formatCode>General</c:formatCode>
                <c:ptCount val="11"/>
                <c:pt idx="0">
                  <c:v>90000</c:v>
                </c:pt>
                <c:pt idx="1">
                  <c:v>75000</c:v>
                </c:pt>
                <c:pt idx="2">
                  <c:v>60000</c:v>
                </c:pt>
                <c:pt idx="3">
                  <c:v>40000</c:v>
                </c:pt>
                <c:pt idx="4">
                  <c:v>30000</c:v>
                </c:pt>
                <c:pt idx="5">
                  <c:v>20000</c:v>
                </c:pt>
                <c:pt idx="6">
                  <c:v>13000</c:v>
                </c:pt>
                <c:pt idx="7">
                  <c:v>10000</c:v>
                </c:pt>
                <c:pt idx="8">
                  <c:v>7000</c:v>
                </c:pt>
                <c:pt idx="9">
                  <c:v>3500</c:v>
                </c:pt>
                <c:pt idx="10">
                  <c:v>2000</c:v>
                </c:pt>
              </c:numCache>
            </c:numRef>
          </c:xVal>
          <c:yVal>
            <c:numRef>
              <c:f>DOD!$D$4:$D$14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yVal>
          <c:smooth val="1"/>
          <c:extLst>
            <c:ext xmlns:c16="http://schemas.microsoft.com/office/drawing/2014/chart" uri="{C3380CC4-5D6E-409C-BE32-E72D297353CC}">
              <c16:uniqueId val="{00000001-2376-45B9-A50C-9A2BE8CD911C}"/>
            </c:ext>
          </c:extLst>
        </c:ser>
        <c:dLbls>
          <c:showLegendKey val="0"/>
          <c:showVal val="0"/>
          <c:showCatName val="0"/>
          <c:showSerName val="0"/>
          <c:showPercent val="0"/>
          <c:showBubbleSize val="0"/>
        </c:dLbls>
        <c:axId val="30879744"/>
        <c:axId val="30881280"/>
      </c:scatterChart>
      <c:valAx>
        <c:axId val="30879744"/>
        <c:scaling>
          <c:logBase val="10"/>
          <c:orientation val="minMax"/>
          <c:max val="100000"/>
          <c:min val="1000"/>
        </c:scaling>
        <c:delete val="0"/>
        <c:axPos val="b"/>
        <c:title>
          <c:tx>
            <c:rich>
              <a:bodyPr/>
              <a:lstStyle/>
              <a:p>
                <a:pPr>
                  <a:defRPr sz="1075" b="1" i="0" u="none" strike="noStrike" baseline="0">
                    <a:solidFill>
                      <a:srgbClr val="000000"/>
                    </a:solidFill>
                    <a:latin typeface="Arial"/>
                    <a:ea typeface="Arial"/>
                    <a:cs typeface="Arial"/>
                  </a:defRPr>
                </a:pPr>
                <a:r>
                  <a:rPr lang="en-US"/>
                  <a:t>life cycles</a:t>
                </a:r>
              </a:p>
            </c:rich>
          </c:tx>
          <c:layout>
            <c:manualLayout>
              <c:xMode val="edge"/>
              <c:yMode val="edge"/>
              <c:x val="0.45977091943966786"/>
              <c:y val="0.87579617834394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0881280"/>
        <c:crosses val="autoZero"/>
        <c:crossBetween val="midCat"/>
      </c:valAx>
      <c:valAx>
        <c:axId val="30881280"/>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DOD</a:t>
                </a:r>
              </a:p>
            </c:rich>
          </c:tx>
          <c:layout>
            <c:manualLayout>
              <c:xMode val="edge"/>
              <c:yMode val="edge"/>
              <c:x val="3.0651340996168595E-2"/>
              <c:y val="0.40127388535031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08797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061383131706244"/>
          <c:y val="3.716216216216217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93129252591549"/>
          <c:y val="0.14189189189189197"/>
          <c:w val="0.77777923285446815"/>
          <c:h val="0.61824324324324342"/>
        </c:manualLayout>
      </c:layout>
      <c:scatterChart>
        <c:scatterStyle val="smoothMarker"/>
        <c:varyColors val="0"/>
        <c:ser>
          <c:idx val="0"/>
          <c:order val="0"/>
          <c:tx>
            <c:strRef>
              <c:f>DOD!$B$2</c:f>
              <c:strCache>
                <c:ptCount val="1"/>
                <c:pt idx="0">
                  <c:v>NiCd</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og"/>
            <c:dispRSqr val="0"/>
            <c:dispEq val="1"/>
            <c:trendlineLbl>
              <c:layout>
                <c:manualLayout>
                  <c:x val="0.1239504201539794"/>
                  <c:y val="-0.48148648648648656"/>
                </c:manualLayout>
              </c:layout>
              <c:numFmt formatCode="General"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trendlineLbl>
          </c:trendline>
          <c:xVal>
            <c:numRef>
              <c:f>DOD!$C$4:$C$11</c:f>
              <c:numCache>
                <c:formatCode>General</c:formatCode>
                <c:ptCount val="8"/>
                <c:pt idx="0">
                  <c:v>150000</c:v>
                </c:pt>
                <c:pt idx="1">
                  <c:v>60000</c:v>
                </c:pt>
                <c:pt idx="2">
                  <c:v>30000</c:v>
                </c:pt>
                <c:pt idx="3">
                  <c:v>20000</c:v>
                </c:pt>
                <c:pt idx="4">
                  <c:v>15000</c:v>
                </c:pt>
                <c:pt idx="5">
                  <c:v>10500</c:v>
                </c:pt>
                <c:pt idx="6">
                  <c:v>9000</c:v>
                </c:pt>
                <c:pt idx="7">
                  <c:v>7000</c:v>
                </c:pt>
              </c:numCache>
            </c:numRef>
          </c:xVal>
          <c:yVal>
            <c:numRef>
              <c:f>DOD!$B$4:$B$11</c:f>
              <c:numCache>
                <c:formatCode>General</c:formatCode>
                <c:ptCount val="8"/>
                <c:pt idx="0">
                  <c:v>0</c:v>
                </c:pt>
                <c:pt idx="1">
                  <c:v>0.1</c:v>
                </c:pt>
                <c:pt idx="2">
                  <c:v>0.2</c:v>
                </c:pt>
                <c:pt idx="3">
                  <c:v>0.3</c:v>
                </c:pt>
                <c:pt idx="4">
                  <c:v>0.4</c:v>
                </c:pt>
                <c:pt idx="5">
                  <c:v>0.5</c:v>
                </c:pt>
                <c:pt idx="6">
                  <c:v>0.6</c:v>
                </c:pt>
                <c:pt idx="7">
                  <c:v>0.7</c:v>
                </c:pt>
              </c:numCache>
            </c:numRef>
          </c:yVal>
          <c:smooth val="1"/>
          <c:extLst>
            <c:ext xmlns:c16="http://schemas.microsoft.com/office/drawing/2014/chart" uri="{C3380CC4-5D6E-409C-BE32-E72D297353CC}">
              <c16:uniqueId val="{00000001-0E43-40A3-9C39-82055261AC71}"/>
            </c:ext>
          </c:extLst>
        </c:ser>
        <c:dLbls>
          <c:showLegendKey val="0"/>
          <c:showVal val="0"/>
          <c:showCatName val="0"/>
          <c:showSerName val="0"/>
          <c:showPercent val="0"/>
          <c:showBubbleSize val="0"/>
        </c:dLbls>
        <c:axId val="30923008"/>
        <c:axId val="30925184"/>
      </c:scatterChart>
      <c:valAx>
        <c:axId val="30923008"/>
        <c:scaling>
          <c:logBase val="10"/>
          <c:orientation val="minMax"/>
          <c:min val="1000"/>
        </c:scaling>
        <c:delete val="0"/>
        <c:axPos val="b"/>
        <c:title>
          <c:tx>
            <c:rich>
              <a:bodyPr/>
              <a:lstStyle/>
              <a:p>
                <a:pPr>
                  <a:defRPr sz="1075" b="1" i="0" u="none" strike="noStrike" baseline="0">
                    <a:solidFill>
                      <a:srgbClr val="000000"/>
                    </a:solidFill>
                    <a:latin typeface="Arial"/>
                    <a:ea typeface="Arial"/>
                    <a:cs typeface="Arial"/>
                  </a:defRPr>
                </a:pPr>
                <a:r>
                  <a:rPr lang="en-US"/>
                  <a:t>life cycle</a:t>
                </a:r>
              </a:p>
            </c:rich>
          </c:tx>
          <c:layout>
            <c:manualLayout>
              <c:xMode val="edge"/>
              <c:yMode val="edge"/>
              <c:x val="0.4636023370641888"/>
              <c:y val="0.868243243243243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0925184"/>
        <c:crosses val="autoZero"/>
        <c:crossBetween val="midCat"/>
      </c:valAx>
      <c:valAx>
        <c:axId val="30925184"/>
        <c:scaling>
          <c:orientation val="minMax"/>
          <c:min val="0"/>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DOD</a:t>
                </a:r>
              </a:p>
            </c:rich>
          </c:tx>
          <c:layout>
            <c:manualLayout>
              <c:xMode val="edge"/>
              <c:yMode val="edge"/>
              <c:x val="3.0651340996168595E-2"/>
              <c:y val="0.3918918918918921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092300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trlProps/ctrlProp1.xml><?xml version="1.0" encoding="utf-8"?>
<formControlPr xmlns="http://schemas.microsoft.com/office/spreadsheetml/2009/9/main" objectType="Drop" dropLines="5" dropStyle="combo" dx="16" fmlaLink="$I$12" fmlaRange="$C$52:$C$69" noThreeD="1" sel="5" val="4"/>
</file>

<file path=xl/ctrlProps/ctrlProp2.xml><?xml version="1.0" encoding="utf-8"?>
<formControlPr xmlns="http://schemas.microsoft.com/office/spreadsheetml/2009/9/main" objectType="Drop" dropLines="4" dropStyle="combo" dx="16" fmlaLink="$N$12" fmlaRange="$C$77:$C$96" noThreeD="1" sel="4" val="0"/>
</file>

<file path=xl/ctrlProps/ctrlProp3.xml><?xml version="1.0" encoding="utf-8"?>
<formControlPr xmlns="http://schemas.microsoft.com/office/spreadsheetml/2009/9/main" objectType="Drop" dropLines="5" dropStyle="combo" dx="16" fmlaLink="$I$12" fmlaRange="$C$52:$C$70" noThreeD="1" sel="19" val="14"/>
</file>

<file path=xl/ctrlProps/ctrlProp4.xml><?xml version="1.0" encoding="utf-8"?>
<formControlPr xmlns="http://schemas.microsoft.com/office/spreadsheetml/2009/9/main" objectType="Drop" dropLines="4" dropStyle="combo" dx="16" fmlaLink="$N$12" fmlaRange="$C$78:$C$99" noThreeD="1" sel="21" val="18"/>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542925</xdr:colOff>
      <xdr:row>0</xdr:row>
      <xdr:rowOff>19050</xdr:rowOff>
    </xdr:from>
    <xdr:to>
      <xdr:col>15</xdr:col>
      <xdr:colOff>28575</xdr:colOff>
      <xdr:row>18</xdr:row>
      <xdr:rowOff>95250</xdr:rowOff>
    </xdr:to>
    <xdr:graphicFrame macro="">
      <xdr:nvGraphicFramePr>
        <xdr:cNvPr id="2079" name="Chart 1">
          <a:extLst>
            <a:ext uri="{FF2B5EF4-FFF2-40B4-BE49-F238E27FC236}">
              <a16:creationId xmlns:a16="http://schemas.microsoft.com/office/drawing/2014/main" id="{00000000-0008-0000-00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542925</xdr:colOff>
      <xdr:row>18</xdr:row>
      <xdr:rowOff>85725</xdr:rowOff>
    </xdr:from>
    <xdr:to>
      <xdr:col>15</xdr:col>
      <xdr:colOff>28575</xdr:colOff>
      <xdr:row>35</xdr:row>
      <xdr:rowOff>152400</xdr:rowOff>
    </xdr:to>
    <xdr:graphicFrame macro="">
      <xdr:nvGraphicFramePr>
        <xdr:cNvPr id="2080" name="Chart 2">
          <a:extLst>
            <a:ext uri="{FF2B5EF4-FFF2-40B4-BE49-F238E27FC236}">
              <a16:creationId xmlns:a16="http://schemas.microsoft.com/office/drawing/2014/main" id="{00000000-0008-0000-0000-000020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1028700</xdr:colOff>
          <xdr:row>11</xdr:row>
          <xdr:rowOff>0</xdr:rowOff>
        </xdr:from>
        <xdr:to>
          <xdr:col>7</xdr:col>
          <xdr:colOff>9525</xdr:colOff>
          <xdr:row>11</xdr:row>
          <xdr:rowOff>190500</xdr:rowOff>
        </xdr:to>
        <xdr:sp macro="" textlink="">
          <xdr:nvSpPr>
            <xdr:cNvPr id="4115" name="Drop Dow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0</xdr:rowOff>
        </xdr:from>
        <xdr:to>
          <xdr:col>13</xdr:col>
          <xdr:colOff>0</xdr:colOff>
          <xdr:row>12</xdr:row>
          <xdr:rowOff>0</xdr:rowOff>
        </xdr:to>
        <xdr:sp macro="" textlink="">
          <xdr:nvSpPr>
            <xdr:cNvPr id="4116" name="Drop Down 20"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1028700</xdr:colOff>
          <xdr:row>11</xdr:row>
          <xdr:rowOff>0</xdr:rowOff>
        </xdr:from>
        <xdr:to>
          <xdr:col>6</xdr:col>
          <xdr:colOff>1924050</xdr:colOff>
          <xdr:row>12</xdr:row>
          <xdr:rowOff>0</xdr:rowOff>
        </xdr:to>
        <xdr:sp macro="" textlink="">
          <xdr:nvSpPr>
            <xdr:cNvPr id="5140" name="Drop Down 20" hidden="1">
              <a:extLst>
                <a:ext uri="{63B3BB69-23CF-44E3-9099-C40C66FF867C}">
                  <a14:compatExt spid="_x0000_s5140"/>
                </a:ext>
                <a:ext uri="{FF2B5EF4-FFF2-40B4-BE49-F238E27FC236}">
                  <a16:creationId xmlns:a16="http://schemas.microsoft.com/office/drawing/2014/main" id="{00000000-0008-0000-02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0</xdr:rowOff>
        </xdr:from>
        <xdr:to>
          <xdr:col>13</xdr:col>
          <xdr:colOff>0</xdr:colOff>
          <xdr:row>12</xdr:row>
          <xdr:rowOff>0</xdr:rowOff>
        </xdr:to>
        <xdr:sp macro="" textlink="">
          <xdr:nvSpPr>
            <xdr:cNvPr id="5141" name="Drop Down 21"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65676</xdr:colOff>
      <xdr:row>32</xdr:row>
      <xdr:rowOff>46971</xdr:rowOff>
    </xdr:to>
    <xdr:pic>
      <xdr:nvPicPr>
        <xdr:cNvPr id="3" name="Picture 2">
          <a:extLst>
            <a:ext uri="{FF2B5EF4-FFF2-40B4-BE49-F238E27FC236}">
              <a16:creationId xmlns:a16="http://schemas.microsoft.com/office/drawing/2014/main" id="{4BEBD977-0883-4C01-A4BE-4D8046FD93D0}"/>
            </a:ext>
          </a:extLst>
        </xdr:cNvPr>
        <xdr:cNvPicPr>
          <a:picLocks noChangeAspect="1"/>
        </xdr:cNvPicPr>
      </xdr:nvPicPr>
      <xdr:blipFill>
        <a:blip xmlns:r="http://schemas.openxmlformats.org/officeDocument/2006/relationships" r:embed="rId1"/>
        <a:stretch>
          <a:fillRect/>
        </a:stretch>
      </xdr:blipFill>
      <xdr:spPr>
        <a:xfrm>
          <a:off x="0" y="0"/>
          <a:ext cx="7990476" cy="5228571"/>
        </a:xfrm>
        <a:prstGeom prst="rect">
          <a:avLst/>
        </a:prstGeom>
      </xdr:spPr>
    </xdr:pic>
    <xdr:clientData/>
  </xdr:twoCellAnchor>
  <xdr:twoCellAnchor editAs="oneCell">
    <xdr:from>
      <xdr:col>13</xdr:col>
      <xdr:colOff>0</xdr:colOff>
      <xdr:row>1</xdr:row>
      <xdr:rowOff>0</xdr:rowOff>
    </xdr:from>
    <xdr:to>
      <xdr:col>26</xdr:col>
      <xdr:colOff>437105</xdr:colOff>
      <xdr:row>34</xdr:row>
      <xdr:rowOff>151713</xdr:rowOff>
    </xdr:to>
    <xdr:pic>
      <xdr:nvPicPr>
        <xdr:cNvPr id="4" name="Picture 3">
          <a:extLst>
            <a:ext uri="{FF2B5EF4-FFF2-40B4-BE49-F238E27FC236}">
              <a16:creationId xmlns:a16="http://schemas.microsoft.com/office/drawing/2014/main" id="{54005871-5582-4265-887E-DDF842C59567}"/>
            </a:ext>
          </a:extLst>
        </xdr:cNvPr>
        <xdr:cNvPicPr>
          <a:picLocks noChangeAspect="1"/>
        </xdr:cNvPicPr>
      </xdr:nvPicPr>
      <xdr:blipFill>
        <a:blip xmlns:r="http://schemas.openxmlformats.org/officeDocument/2006/relationships" r:embed="rId2"/>
        <a:stretch>
          <a:fillRect/>
        </a:stretch>
      </xdr:blipFill>
      <xdr:spPr>
        <a:xfrm>
          <a:off x="7924800" y="161925"/>
          <a:ext cx="8361905" cy="5495238"/>
        </a:xfrm>
        <a:prstGeom prst="rect">
          <a:avLst/>
        </a:prstGeom>
      </xdr:spPr>
    </xdr:pic>
    <xdr:clientData/>
  </xdr:twoCellAnchor>
  <xdr:twoCellAnchor editAs="oneCell">
    <xdr:from>
      <xdr:col>0</xdr:col>
      <xdr:colOff>0</xdr:colOff>
      <xdr:row>35</xdr:row>
      <xdr:rowOff>0</xdr:rowOff>
    </xdr:from>
    <xdr:to>
      <xdr:col>14</xdr:col>
      <xdr:colOff>179886</xdr:colOff>
      <xdr:row>73</xdr:row>
      <xdr:rowOff>132564</xdr:rowOff>
    </xdr:to>
    <xdr:pic>
      <xdr:nvPicPr>
        <xdr:cNvPr id="5" name="Picture 4">
          <a:extLst>
            <a:ext uri="{FF2B5EF4-FFF2-40B4-BE49-F238E27FC236}">
              <a16:creationId xmlns:a16="http://schemas.microsoft.com/office/drawing/2014/main" id="{3E89C4E9-2A56-4A78-9F54-4ACD16E69997}"/>
            </a:ext>
          </a:extLst>
        </xdr:cNvPr>
        <xdr:cNvPicPr>
          <a:picLocks noChangeAspect="1"/>
        </xdr:cNvPicPr>
      </xdr:nvPicPr>
      <xdr:blipFill>
        <a:blip xmlns:r="http://schemas.openxmlformats.org/officeDocument/2006/relationships" r:embed="rId3"/>
        <a:stretch>
          <a:fillRect/>
        </a:stretch>
      </xdr:blipFill>
      <xdr:spPr>
        <a:xfrm>
          <a:off x="0" y="5667375"/>
          <a:ext cx="8714286" cy="6285714"/>
        </a:xfrm>
        <a:prstGeom prst="rect">
          <a:avLst/>
        </a:prstGeom>
      </xdr:spPr>
    </xdr:pic>
    <xdr:clientData/>
  </xdr:twoCellAnchor>
  <xdr:twoCellAnchor editAs="oneCell">
    <xdr:from>
      <xdr:col>15</xdr:col>
      <xdr:colOff>0</xdr:colOff>
      <xdr:row>37</xdr:row>
      <xdr:rowOff>0</xdr:rowOff>
    </xdr:from>
    <xdr:to>
      <xdr:col>28</xdr:col>
      <xdr:colOff>170438</xdr:colOff>
      <xdr:row>73</xdr:row>
      <xdr:rowOff>94509</xdr:rowOff>
    </xdr:to>
    <xdr:pic>
      <xdr:nvPicPr>
        <xdr:cNvPr id="6" name="Picture 5">
          <a:extLst>
            <a:ext uri="{FF2B5EF4-FFF2-40B4-BE49-F238E27FC236}">
              <a16:creationId xmlns:a16="http://schemas.microsoft.com/office/drawing/2014/main" id="{334E1B28-787D-40B2-B01A-C85300FA49AE}"/>
            </a:ext>
          </a:extLst>
        </xdr:cNvPr>
        <xdr:cNvPicPr>
          <a:picLocks noChangeAspect="1"/>
        </xdr:cNvPicPr>
      </xdr:nvPicPr>
      <xdr:blipFill>
        <a:blip xmlns:r="http://schemas.openxmlformats.org/officeDocument/2006/relationships" r:embed="rId4"/>
        <a:stretch>
          <a:fillRect/>
        </a:stretch>
      </xdr:blipFill>
      <xdr:spPr>
        <a:xfrm>
          <a:off x="9144000" y="5991225"/>
          <a:ext cx="8095238" cy="5923809"/>
        </a:xfrm>
        <a:prstGeom prst="rect">
          <a:avLst/>
        </a:prstGeom>
      </xdr:spPr>
    </xdr:pic>
    <xdr:clientData/>
  </xdr:twoCellAnchor>
  <xdr:twoCellAnchor editAs="oneCell">
    <xdr:from>
      <xdr:col>0</xdr:col>
      <xdr:colOff>0</xdr:colOff>
      <xdr:row>76</xdr:row>
      <xdr:rowOff>0</xdr:rowOff>
    </xdr:from>
    <xdr:to>
      <xdr:col>14</xdr:col>
      <xdr:colOff>284648</xdr:colOff>
      <xdr:row>111</xdr:row>
      <xdr:rowOff>85006</xdr:rowOff>
    </xdr:to>
    <xdr:pic>
      <xdr:nvPicPr>
        <xdr:cNvPr id="7" name="Picture 6">
          <a:extLst>
            <a:ext uri="{FF2B5EF4-FFF2-40B4-BE49-F238E27FC236}">
              <a16:creationId xmlns:a16="http://schemas.microsoft.com/office/drawing/2014/main" id="{34149945-1698-429A-8B88-EB13BF1BEBEE}"/>
            </a:ext>
          </a:extLst>
        </xdr:cNvPr>
        <xdr:cNvPicPr>
          <a:picLocks noChangeAspect="1"/>
        </xdr:cNvPicPr>
      </xdr:nvPicPr>
      <xdr:blipFill>
        <a:blip xmlns:r="http://schemas.openxmlformats.org/officeDocument/2006/relationships" r:embed="rId5"/>
        <a:stretch>
          <a:fillRect/>
        </a:stretch>
      </xdr:blipFill>
      <xdr:spPr>
        <a:xfrm>
          <a:off x="0" y="12306300"/>
          <a:ext cx="8819048" cy="5752381"/>
        </a:xfrm>
        <a:prstGeom prst="rect">
          <a:avLst/>
        </a:prstGeom>
      </xdr:spPr>
    </xdr:pic>
    <xdr:clientData/>
  </xdr:twoCellAnchor>
  <xdr:twoCellAnchor editAs="oneCell">
    <xdr:from>
      <xdr:col>15</xdr:col>
      <xdr:colOff>0</xdr:colOff>
      <xdr:row>76</xdr:row>
      <xdr:rowOff>0</xdr:rowOff>
    </xdr:from>
    <xdr:to>
      <xdr:col>28</xdr:col>
      <xdr:colOff>418057</xdr:colOff>
      <xdr:row>111</xdr:row>
      <xdr:rowOff>151673</xdr:rowOff>
    </xdr:to>
    <xdr:pic>
      <xdr:nvPicPr>
        <xdr:cNvPr id="8" name="Picture 7">
          <a:extLst>
            <a:ext uri="{FF2B5EF4-FFF2-40B4-BE49-F238E27FC236}">
              <a16:creationId xmlns:a16="http://schemas.microsoft.com/office/drawing/2014/main" id="{A4345EC9-FB06-4D86-8E10-5D6109E39D01}"/>
            </a:ext>
          </a:extLst>
        </xdr:cNvPr>
        <xdr:cNvPicPr>
          <a:picLocks noChangeAspect="1"/>
        </xdr:cNvPicPr>
      </xdr:nvPicPr>
      <xdr:blipFill>
        <a:blip xmlns:r="http://schemas.openxmlformats.org/officeDocument/2006/relationships" r:embed="rId6"/>
        <a:stretch>
          <a:fillRect/>
        </a:stretch>
      </xdr:blipFill>
      <xdr:spPr>
        <a:xfrm>
          <a:off x="9144000" y="12306300"/>
          <a:ext cx="8342857" cy="58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14"/>
  <sheetViews>
    <sheetView zoomScaleNormal="100" workbookViewId="0">
      <selection activeCell="D39" sqref="D39"/>
    </sheetView>
  </sheetViews>
  <sheetFormatPr defaultRowHeight="12.75" x14ac:dyDescent="0.2"/>
  <sheetData>
    <row r="2" spans="2:5" x14ac:dyDescent="0.2">
      <c r="B2" t="s">
        <v>9</v>
      </c>
      <c r="D2" t="s">
        <v>10</v>
      </c>
    </row>
    <row r="3" spans="2:5" x14ac:dyDescent="0.2">
      <c r="B3" t="s">
        <v>42</v>
      </c>
      <c r="C3" t="s">
        <v>43</v>
      </c>
      <c r="D3" t="s">
        <v>42</v>
      </c>
      <c r="E3" t="s">
        <v>43</v>
      </c>
    </row>
    <row r="4" spans="2:5" x14ac:dyDescent="0.2">
      <c r="B4">
        <v>0</v>
      </c>
      <c r="C4">
        <v>150000</v>
      </c>
      <c r="D4">
        <v>0</v>
      </c>
      <c r="E4">
        <v>90000</v>
      </c>
    </row>
    <row r="5" spans="2:5" x14ac:dyDescent="0.2">
      <c r="B5">
        <v>0.1</v>
      </c>
      <c r="C5">
        <v>60000</v>
      </c>
      <c r="D5">
        <v>0.1</v>
      </c>
      <c r="E5">
        <v>75000</v>
      </c>
    </row>
    <row r="6" spans="2:5" x14ac:dyDescent="0.2">
      <c r="B6">
        <v>0.2</v>
      </c>
      <c r="C6">
        <v>30000</v>
      </c>
      <c r="D6">
        <v>0.2</v>
      </c>
      <c r="E6">
        <v>60000</v>
      </c>
    </row>
    <row r="7" spans="2:5" x14ac:dyDescent="0.2">
      <c r="B7">
        <v>0.3</v>
      </c>
      <c r="C7">
        <v>20000</v>
      </c>
      <c r="D7">
        <v>0.3</v>
      </c>
      <c r="E7">
        <v>40000</v>
      </c>
    </row>
    <row r="8" spans="2:5" x14ac:dyDescent="0.2">
      <c r="B8">
        <v>0.4</v>
      </c>
      <c r="C8">
        <v>15000</v>
      </c>
      <c r="D8">
        <v>0.4</v>
      </c>
      <c r="E8">
        <v>30000</v>
      </c>
    </row>
    <row r="9" spans="2:5" x14ac:dyDescent="0.2">
      <c r="B9">
        <v>0.5</v>
      </c>
      <c r="C9">
        <v>10500</v>
      </c>
      <c r="D9">
        <v>0.5</v>
      </c>
      <c r="E9">
        <v>20000</v>
      </c>
    </row>
    <row r="10" spans="2:5" x14ac:dyDescent="0.2">
      <c r="B10">
        <v>0.6</v>
      </c>
      <c r="C10">
        <v>9000</v>
      </c>
      <c r="D10">
        <v>0.6</v>
      </c>
      <c r="E10">
        <v>13000</v>
      </c>
    </row>
    <row r="11" spans="2:5" x14ac:dyDescent="0.2">
      <c r="B11">
        <v>0.7</v>
      </c>
      <c r="C11">
        <v>7000</v>
      </c>
      <c r="D11">
        <v>0.7</v>
      </c>
      <c r="E11">
        <v>10000</v>
      </c>
    </row>
    <row r="12" spans="2:5" x14ac:dyDescent="0.2">
      <c r="B12">
        <v>0.8</v>
      </c>
      <c r="D12">
        <v>0.8</v>
      </c>
      <c r="E12">
        <v>7000</v>
      </c>
    </row>
    <row r="13" spans="2:5" x14ac:dyDescent="0.2">
      <c r="B13">
        <v>0.9</v>
      </c>
      <c r="D13">
        <v>0.9</v>
      </c>
      <c r="E13">
        <v>3500</v>
      </c>
    </row>
    <row r="14" spans="2:5" x14ac:dyDescent="0.2">
      <c r="B14">
        <v>1</v>
      </c>
      <c r="D14">
        <v>1</v>
      </c>
      <c r="E14">
        <v>2000</v>
      </c>
    </row>
  </sheetData>
  <phoneticPr fontId="0"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Z108"/>
  <sheetViews>
    <sheetView zoomScaleNormal="100" workbookViewId="0">
      <selection activeCell="R31" sqref="R31"/>
    </sheetView>
  </sheetViews>
  <sheetFormatPr defaultRowHeight="12.75" x14ac:dyDescent="0.2"/>
  <cols>
    <col min="1" max="1" width="4.42578125" customWidth="1"/>
    <col min="2" max="2" width="23.28515625" customWidth="1"/>
    <col min="3" max="3" width="9.140625" style="1" customWidth="1"/>
    <col min="4" max="4" width="12.7109375" style="1" customWidth="1"/>
    <col min="6" max="6" width="11.7109375" customWidth="1"/>
    <col min="7" max="7" width="34" customWidth="1"/>
    <col min="8" max="8" width="11.85546875" customWidth="1"/>
    <col min="9" max="9" width="9.85546875" customWidth="1"/>
    <col min="10" max="10" width="9.28515625" customWidth="1"/>
    <col min="11" max="11" width="10" bestFit="1" customWidth="1"/>
    <col min="12" max="12" width="23" customWidth="1"/>
    <col min="14" max="14" width="10.5703125" bestFit="1" customWidth="1"/>
    <col min="16" max="16" width="9.7109375" customWidth="1"/>
  </cols>
  <sheetData>
    <row r="1" spans="2:22" ht="25.5" x14ac:dyDescent="0.35">
      <c r="B1" s="3" t="s">
        <v>47</v>
      </c>
    </row>
    <row r="2" spans="2:22" x14ac:dyDescent="0.2">
      <c r="D2" s="26"/>
      <c r="E2" s="26"/>
      <c r="G2" s="8"/>
      <c r="H2" s="9"/>
      <c r="I2" s="9"/>
      <c r="N2" s="8"/>
      <c r="O2" s="8"/>
      <c r="P2" s="8"/>
      <c r="Q2" s="8"/>
      <c r="R2" s="8"/>
      <c r="S2" s="8"/>
      <c r="T2" s="8"/>
      <c r="U2" s="8"/>
      <c r="V2" s="8"/>
    </row>
    <row r="3" spans="2:22" ht="21" thickBot="1" x14ac:dyDescent="0.35">
      <c r="B3" s="13" t="s">
        <v>102</v>
      </c>
      <c r="C3" s="45"/>
      <c r="D3" s="45"/>
      <c r="E3" s="45"/>
      <c r="F3" s="45"/>
      <c r="G3" s="13" t="s">
        <v>53</v>
      </c>
      <c r="H3" s="9"/>
      <c r="I3" s="9"/>
      <c r="N3" s="8"/>
      <c r="O3" s="8"/>
      <c r="P3" s="8"/>
      <c r="Q3" s="8"/>
    </row>
    <row r="4" spans="2:22" x14ac:dyDescent="0.2">
      <c r="B4" s="5" t="s">
        <v>4</v>
      </c>
      <c r="C4" s="6" t="s">
        <v>59</v>
      </c>
      <c r="D4" s="6" t="s">
        <v>60</v>
      </c>
      <c r="E4" s="7" t="s">
        <v>61</v>
      </c>
      <c r="F4" s="45"/>
      <c r="G4" s="12" t="s">
        <v>54</v>
      </c>
      <c r="H4" s="9"/>
      <c r="L4" s="5" t="s">
        <v>58</v>
      </c>
      <c r="M4" s="6" t="s">
        <v>59</v>
      </c>
      <c r="N4" s="6" t="s">
        <v>60</v>
      </c>
      <c r="O4" s="7" t="s">
        <v>61</v>
      </c>
      <c r="P4" s="8"/>
      <c r="Q4" s="8"/>
    </row>
    <row r="5" spans="2:22" ht="17.25" customHeight="1" thickBot="1" x14ac:dyDescent="0.25">
      <c r="B5" s="138" t="s">
        <v>0</v>
      </c>
      <c r="C5" s="128" t="s">
        <v>281</v>
      </c>
      <c r="D5" s="46">
        <v>1500</v>
      </c>
      <c r="E5" s="53" t="s">
        <v>6</v>
      </c>
      <c r="F5" s="45"/>
      <c r="G5" s="10" t="s">
        <v>55</v>
      </c>
      <c r="H5" s="9"/>
      <c r="L5" s="18" t="s">
        <v>62</v>
      </c>
      <c r="M5" s="19" t="s">
        <v>5</v>
      </c>
      <c r="N5" s="20">
        <v>398600.5</v>
      </c>
      <c r="O5" s="21" t="s">
        <v>63</v>
      </c>
      <c r="P5" s="8"/>
      <c r="Q5" s="8"/>
    </row>
    <row r="6" spans="2:22" ht="15.75" x14ac:dyDescent="0.3">
      <c r="B6" s="138" t="s">
        <v>1</v>
      </c>
      <c r="C6" s="128" t="s">
        <v>280</v>
      </c>
      <c r="D6" s="46">
        <v>5</v>
      </c>
      <c r="E6" s="54" t="s">
        <v>101</v>
      </c>
      <c r="F6" s="45"/>
      <c r="G6" s="14" t="s">
        <v>56</v>
      </c>
      <c r="H6" s="9"/>
      <c r="L6" s="22" t="s">
        <v>64</v>
      </c>
      <c r="M6" s="23" t="s">
        <v>65</v>
      </c>
      <c r="N6" s="24">
        <v>6378</v>
      </c>
      <c r="O6" s="25" t="s">
        <v>52</v>
      </c>
      <c r="P6" s="8"/>
      <c r="Q6" s="8"/>
    </row>
    <row r="7" spans="2:22" ht="15.75" x14ac:dyDescent="0.3">
      <c r="B7" s="138" t="s">
        <v>44</v>
      </c>
      <c r="C7" s="128" t="s">
        <v>282</v>
      </c>
      <c r="D7" s="46">
        <v>28</v>
      </c>
      <c r="E7" s="53" t="s">
        <v>11</v>
      </c>
      <c r="F7" s="45"/>
      <c r="G7" s="15" t="s">
        <v>57</v>
      </c>
      <c r="H7" s="9"/>
      <c r="L7" s="22" t="s">
        <v>66</v>
      </c>
      <c r="M7" s="23" t="s">
        <v>67</v>
      </c>
      <c r="N7" s="108">
        <v>1.0822626683E-3</v>
      </c>
      <c r="O7" s="25" t="s">
        <v>68</v>
      </c>
      <c r="P7" s="8"/>
      <c r="Q7" s="8"/>
    </row>
    <row r="8" spans="2:22" ht="15.75" customHeight="1" thickBot="1" x14ac:dyDescent="0.25">
      <c r="B8" s="78" t="s">
        <v>20</v>
      </c>
      <c r="C8" s="142" t="s">
        <v>258</v>
      </c>
      <c r="D8" s="55">
        <v>55</v>
      </c>
      <c r="E8" s="49" t="s">
        <v>14</v>
      </c>
      <c r="F8" s="45"/>
      <c r="G8" s="16" t="s">
        <v>294</v>
      </c>
      <c r="H8" s="9"/>
      <c r="I8" s="9"/>
      <c r="L8" s="4" t="s">
        <v>224</v>
      </c>
      <c r="M8" s="109"/>
      <c r="N8" s="110">
        <v>1353</v>
      </c>
      <c r="O8" s="111" t="s">
        <v>225</v>
      </c>
      <c r="P8" s="8"/>
      <c r="Q8" s="8"/>
    </row>
    <row r="9" spans="2:22" x14ac:dyDescent="0.2">
      <c r="F9" s="45"/>
      <c r="G9" s="8"/>
      <c r="H9" s="9"/>
      <c r="I9" s="9"/>
      <c r="N9" s="8"/>
      <c r="O9" s="8"/>
      <c r="P9" s="8"/>
      <c r="Q9" s="8"/>
    </row>
    <row r="10" spans="2:22" ht="21" thickBot="1" x14ac:dyDescent="0.35">
      <c r="B10" s="13" t="s">
        <v>106</v>
      </c>
      <c r="F10" s="45"/>
      <c r="G10" s="13" t="s">
        <v>104</v>
      </c>
      <c r="J10" s="45"/>
      <c r="K10" s="45"/>
      <c r="L10" s="13" t="s">
        <v>248</v>
      </c>
      <c r="N10" s="8"/>
      <c r="O10" s="8"/>
      <c r="P10" s="8"/>
      <c r="Q10" s="8"/>
    </row>
    <row r="11" spans="2:22" x14ac:dyDescent="0.2">
      <c r="B11" s="5" t="s">
        <v>4</v>
      </c>
      <c r="C11" s="6" t="s">
        <v>59</v>
      </c>
      <c r="D11" s="6" t="s">
        <v>60</v>
      </c>
      <c r="E11" s="7" t="s">
        <v>61</v>
      </c>
      <c r="F11" s="45"/>
      <c r="G11" s="5" t="s">
        <v>4</v>
      </c>
      <c r="H11" s="6" t="s">
        <v>59</v>
      </c>
      <c r="I11" s="6" t="s">
        <v>60</v>
      </c>
      <c r="J11" s="7" t="s">
        <v>61</v>
      </c>
      <c r="K11" s="45"/>
      <c r="L11" s="5" t="s">
        <v>4</v>
      </c>
      <c r="M11" s="6" t="s">
        <v>59</v>
      </c>
      <c r="N11" s="6" t="s">
        <v>60</v>
      </c>
      <c r="O11" s="7" t="s">
        <v>61</v>
      </c>
      <c r="P11" s="8"/>
      <c r="Q11" s="8"/>
    </row>
    <row r="12" spans="2:22" ht="15.75" customHeight="1" x14ac:dyDescent="0.2">
      <c r="B12" s="143" t="s">
        <v>22</v>
      </c>
      <c r="C12" s="146" t="s">
        <v>287</v>
      </c>
      <c r="D12" s="48">
        <v>2869.1447400000002</v>
      </c>
      <c r="E12" s="47" t="s">
        <v>6</v>
      </c>
      <c r="G12" s="112" t="s">
        <v>105</v>
      </c>
      <c r="H12" s="140"/>
      <c r="I12" s="119">
        <v>5</v>
      </c>
      <c r="J12" s="86"/>
      <c r="K12" s="45"/>
      <c r="L12" s="112" t="s">
        <v>105</v>
      </c>
      <c r="M12" s="113"/>
      <c r="N12" s="119">
        <v>4</v>
      </c>
      <c r="O12" s="135"/>
      <c r="P12" s="8"/>
      <c r="Q12" s="8"/>
    </row>
    <row r="13" spans="2:22" ht="15.75" x14ac:dyDescent="0.2">
      <c r="B13" s="144" t="s">
        <v>45</v>
      </c>
      <c r="C13" s="128" t="s">
        <v>288</v>
      </c>
      <c r="D13" s="48">
        <v>2459.413513693883</v>
      </c>
      <c r="E13" s="47" t="s">
        <v>6</v>
      </c>
      <c r="G13" s="118" t="s">
        <v>24</v>
      </c>
      <c r="H13" s="140"/>
      <c r="I13" s="126">
        <v>27.5</v>
      </c>
      <c r="J13" s="85" t="s">
        <v>184</v>
      </c>
      <c r="K13" s="45"/>
      <c r="L13" s="118" t="s">
        <v>12</v>
      </c>
      <c r="M13" s="113"/>
      <c r="N13" s="130">
        <v>135</v>
      </c>
      <c r="O13" s="86" t="s">
        <v>13</v>
      </c>
      <c r="P13" s="8"/>
      <c r="Q13" s="8"/>
    </row>
    <row r="14" spans="2:22" ht="15.75" x14ac:dyDescent="0.2">
      <c r="B14" s="145" t="s">
        <v>255</v>
      </c>
      <c r="C14" s="128" t="s">
        <v>289</v>
      </c>
      <c r="D14" s="89">
        <v>8.4149999999999991</v>
      </c>
      <c r="E14" s="51" t="s">
        <v>48</v>
      </c>
      <c r="G14" s="112" t="s">
        <v>260</v>
      </c>
      <c r="H14" s="140"/>
      <c r="I14" s="127">
        <v>0.28000000000000003</v>
      </c>
      <c r="J14" s="85" t="s">
        <v>99</v>
      </c>
      <c r="K14" s="106"/>
      <c r="L14" s="112" t="s">
        <v>236</v>
      </c>
      <c r="M14" s="113"/>
      <c r="N14" s="130">
        <v>270</v>
      </c>
      <c r="O14" s="85" t="s">
        <v>241</v>
      </c>
      <c r="P14" s="8"/>
      <c r="Q14" s="8"/>
    </row>
    <row r="15" spans="2:22" ht="15.75" x14ac:dyDescent="0.2">
      <c r="B15" s="102" t="s">
        <v>46</v>
      </c>
      <c r="C15" s="128" t="s">
        <v>290</v>
      </c>
      <c r="D15" s="48">
        <v>4800</v>
      </c>
      <c r="E15" s="51" t="s">
        <v>32</v>
      </c>
      <c r="G15" s="112" t="s">
        <v>217</v>
      </c>
      <c r="H15" s="128" t="s">
        <v>216</v>
      </c>
      <c r="I15" s="129">
        <v>2.3450000000000002</v>
      </c>
      <c r="J15" s="86" t="s">
        <v>11</v>
      </c>
      <c r="K15" s="106"/>
      <c r="L15" s="118" t="s">
        <v>16</v>
      </c>
      <c r="M15" s="113"/>
      <c r="N15" s="136">
        <v>-10</v>
      </c>
      <c r="O15" s="85" t="s">
        <v>135</v>
      </c>
      <c r="P15" s="8"/>
      <c r="Q15" s="8"/>
    </row>
    <row r="16" spans="2:22" ht="15.75" x14ac:dyDescent="0.2">
      <c r="B16" s="102" t="s">
        <v>252</v>
      </c>
      <c r="C16" s="128" t="s">
        <v>291</v>
      </c>
      <c r="D16" s="48">
        <v>35.555555555555557</v>
      </c>
      <c r="E16" s="103" t="s">
        <v>148</v>
      </c>
      <c r="G16" s="112" t="s">
        <v>220</v>
      </c>
      <c r="H16" s="128" t="s">
        <v>219</v>
      </c>
      <c r="I16" s="130">
        <v>16.155223880597017</v>
      </c>
      <c r="J16" s="85" t="s">
        <v>221</v>
      </c>
      <c r="K16" s="106"/>
      <c r="L16" s="118" t="s">
        <v>17</v>
      </c>
      <c r="M16" s="113"/>
      <c r="N16" s="136">
        <v>40</v>
      </c>
      <c r="O16" s="85" t="s">
        <v>135</v>
      </c>
      <c r="P16" s="8"/>
      <c r="Q16" s="8"/>
    </row>
    <row r="17" spans="2:17" ht="15.75" x14ac:dyDescent="0.2">
      <c r="B17" s="102" t="s">
        <v>253</v>
      </c>
      <c r="C17" s="128" t="s">
        <v>292</v>
      </c>
      <c r="D17" s="48">
        <v>17.777777777777779</v>
      </c>
      <c r="E17" s="103" t="s">
        <v>254</v>
      </c>
      <c r="F17" s="8"/>
      <c r="G17" s="118" t="s">
        <v>49</v>
      </c>
      <c r="H17" s="128" t="s">
        <v>276</v>
      </c>
      <c r="I17" s="126">
        <v>28</v>
      </c>
      <c r="J17" s="85" t="s">
        <v>135</v>
      </c>
      <c r="K17" s="107"/>
      <c r="L17" s="112" t="s">
        <v>228</v>
      </c>
      <c r="M17" s="113"/>
      <c r="N17" s="127">
        <v>0.2</v>
      </c>
      <c r="O17" s="85" t="s">
        <v>99</v>
      </c>
      <c r="P17" s="8"/>
      <c r="Q17" s="8"/>
    </row>
    <row r="18" spans="2:17" ht="16.5" thickBot="1" x14ac:dyDescent="0.25">
      <c r="B18" s="104" t="s">
        <v>100</v>
      </c>
      <c r="C18" s="142" t="s">
        <v>293</v>
      </c>
      <c r="D18" s="90">
        <v>28412.58028280365</v>
      </c>
      <c r="E18" s="141" t="s">
        <v>263</v>
      </c>
      <c r="F18" s="8"/>
      <c r="G18" s="112" t="s">
        <v>209</v>
      </c>
      <c r="H18" s="128" t="s">
        <v>279</v>
      </c>
      <c r="I18" s="126">
        <v>-6.3</v>
      </c>
      <c r="J18" s="87" t="s">
        <v>198</v>
      </c>
      <c r="K18" s="45"/>
      <c r="L18" s="112" t="s">
        <v>242</v>
      </c>
      <c r="M18" s="113"/>
      <c r="N18" s="126">
        <v>20000</v>
      </c>
      <c r="O18" s="86"/>
    </row>
    <row r="19" spans="2:17" ht="13.5" customHeight="1" x14ac:dyDescent="0.2">
      <c r="F19" s="8"/>
      <c r="G19" s="112" t="s">
        <v>210</v>
      </c>
      <c r="H19" s="128" t="s">
        <v>274</v>
      </c>
      <c r="I19" s="126">
        <v>9</v>
      </c>
      <c r="J19" s="85" t="s">
        <v>211</v>
      </c>
      <c r="K19" s="45"/>
      <c r="L19" s="112" t="s">
        <v>243</v>
      </c>
      <c r="M19" s="113"/>
      <c r="N19" s="126">
        <v>3.75</v>
      </c>
      <c r="O19" s="86" t="s">
        <v>15</v>
      </c>
      <c r="P19" s="8"/>
      <c r="Q19" s="8"/>
    </row>
    <row r="20" spans="2:17" ht="20.25" customHeight="1" thickBot="1" x14ac:dyDescent="0.35">
      <c r="B20" s="13" t="s">
        <v>69</v>
      </c>
      <c r="D20"/>
      <c r="F20" s="8"/>
      <c r="G20" s="112" t="s">
        <v>295</v>
      </c>
      <c r="H20" s="128" t="s">
        <v>275</v>
      </c>
      <c r="I20" s="127">
        <v>0.86</v>
      </c>
      <c r="J20" s="85" t="s">
        <v>99</v>
      </c>
      <c r="K20" s="45"/>
      <c r="L20" s="112" t="s">
        <v>244</v>
      </c>
      <c r="M20" s="113"/>
      <c r="N20" s="126">
        <v>4.2</v>
      </c>
      <c r="O20" s="86" t="s">
        <v>15</v>
      </c>
      <c r="P20" s="8"/>
      <c r="Q20" s="8"/>
    </row>
    <row r="21" spans="2:17" ht="15" customHeight="1" x14ac:dyDescent="0.2">
      <c r="B21" s="5" t="s">
        <v>4</v>
      </c>
      <c r="C21" s="6" t="s">
        <v>59</v>
      </c>
      <c r="D21" s="6" t="s">
        <v>60</v>
      </c>
      <c r="E21" s="7" t="s">
        <v>61</v>
      </c>
      <c r="F21" s="2"/>
      <c r="G21" s="118" t="s">
        <v>18</v>
      </c>
      <c r="H21" s="140"/>
      <c r="I21" s="131">
        <v>0.9</v>
      </c>
      <c r="J21" s="85" t="s">
        <v>99</v>
      </c>
      <c r="K21" s="45"/>
      <c r="L21" s="112" t="s">
        <v>246</v>
      </c>
      <c r="M21" s="113"/>
      <c r="N21" s="136" t="s">
        <v>245</v>
      </c>
      <c r="O21" s="85" t="s">
        <v>36</v>
      </c>
    </row>
    <row r="22" spans="2:17" ht="15.75" x14ac:dyDescent="0.3">
      <c r="B22" s="22" t="s">
        <v>70</v>
      </c>
      <c r="C22" s="23" t="s">
        <v>71</v>
      </c>
      <c r="D22" s="27">
        <v>400</v>
      </c>
      <c r="E22" s="25" t="s">
        <v>72</v>
      </c>
      <c r="F22" s="2"/>
      <c r="G22" s="112" t="s">
        <v>251</v>
      </c>
      <c r="H22" s="140"/>
      <c r="I22" s="132">
        <v>1.35</v>
      </c>
      <c r="J22" s="85"/>
      <c r="K22" s="45"/>
      <c r="L22" s="118" t="s">
        <v>41</v>
      </c>
      <c r="M22" s="113"/>
      <c r="N22" s="133">
        <v>10</v>
      </c>
      <c r="O22" s="86" t="s">
        <v>36</v>
      </c>
    </row>
    <row r="23" spans="2:17" ht="16.5" thickBot="1" x14ac:dyDescent="0.35">
      <c r="B23" s="28" t="s">
        <v>73</v>
      </c>
      <c r="C23" s="29" t="s">
        <v>74</v>
      </c>
      <c r="D23" s="50">
        <v>400</v>
      </c>
      <c r="E23" s="31" t="s">
        <v>52</v>
      </c>
      <c r="F23" s="2"/>
      <c r="G23" s="118" t="s">
        <v>50</v>
      </c>
      <c r="H23" s="128" t="s">
        <v>284</v>
      </c>
      <c r="I23" s="133">
        <v>10</v>
      </c>
      <c r="J23" s="86" t="s">
        <v>19</v>
      </c>
      <c r="L23" s="121" t="s">
        <v>228</v>
      </c>
      <c r="M23" s="122"/>
      <c r="N23" s="137">
        <v>0.2</v>
      </c>
      <c r="O23" s="105" t="s">
        <v>99</v>
      </c>
    </row>
    <row r="24" spans="2:17" ht="16.5" thickBot="1" x14ac:dyDescent="0.25">
      <c r="B24" s="28" t="s">
        <v>75</v>
      </c>
      <c r="C24" s="29" t="s">
        <v>76</v>
      </c>
      <c r="D24" s="30">
        <v>102</v>
      </c>
      <c r="E24" s="31" t="s">
        <v>19</v>
      </c>
      <c r="G24" s="121" t="s">
        <v>213</v>
      </c>
      <c r="H24" s="142" t="s">
        <v>283</v>
      </c>
      <c r="I24" s="134">
        <v>100000000000000</v>
      </c>
      <c r="J24" s="105" t="s">
        <v>256</v>
      </c>
    </row>
    <row r="25" spans="2:17" ht="15.75" x14ac:dyDescent="0.3">
      <c r="B25" s="28" t="s">
        <v>77</v>
      </c>
      <c r="C25" s="29" t="s">
        <v>78</v>
      </c>
      <c r="D25" s="32">
        <v>6778</v>
      </c>
      <c r="E25" s="31" t="s">
        <v>52</v>
      </c>
    </row>
    <row r="26" spans="2:17" ht="21" thickBot="1" x14ac:dyDescent="0.35">
      <c r="B26" s="28" t="s">
        <v>79</v>
      </c>
      <c r="C26" s="29" t="s">
        <v>80</v>
      </c>
      <c r="D26" s="32">
        <v>6778</v>
      </c>
      <c r="E26" s="31" t="s">
        <v>52</v>
      </c>
      <c r="G26" s="81" t="s">
        <v>103</v>
      </c>
      <c r="H26" s="80"/>
      <c r="I26" s="82"/>
      <c r="J26" s="82"/>
      <c r="L26" s="13" t="s">
        <v>247</v>
      </c>
    </row>
    <row r="27" spans="2:17" x14ac:dyDescent="0.2">
      <c r="B27" s="33" t="s">
        <v>81</v>
      </c>
      <c r="C27" s="34" t="s">
        <v>82</v>
      </c>
      <c r="D27" s="35">
        <v>6778</v>
      </c>
      <c r="E27" s="36" t="s">
        <v>52</v>
      </c>
      <c r="G27" s="5" t="s">
        <v>4</v>
      </c>
      <c r="H27" s="6" t="s">
        <v>59</v>
      </c>
      <c r="I27" s="6" t="s">
        <v>60</v>
      </c>
      <c r="J27" s="7" t="s">
        <v>61</v>
      </c>
      <c r="L27" s="5" t="s">
        <v>4</v>
      </c>
      <c r="M27" s="6" t="s">
        <v>59</v>
      </c>
      <c r="N27" s="6" t="s">
        <v>60</v>
      </c>
      <c r="O27" s="7" t="s">
        <v>61</v>
      </c>
    </row>
    <row r="28" spans="2:17" ht="15.75" x14ac:dyDescent="0.2">
      <c r="B28" s="33" t="s">
        <v>83</v>
      </c>
      <c r="C28" s="34" t="s">
        <v>84</v>
      </c>
      <c r="D28" s="37">
        <v>0</v>
      </c>
      <c r="E28" s="36"/>
      <c r="G28" s="112" t="s">
        <v>215</v>
      </c>
      <c r="H28" s="128" t="s">
        <v>277</v>
      </c>
      <c r="I28" s="114">
        <v>2.1749000000000001</v>
      </c>
      <c r="J28" s="85" t="s">
        <v>11</v>
      </c>
      <c r="L28" s="118" t="s">
        <v>29</v>
      </c>
      <c r="M28" s="113"/>
      <c r="N28" s="115">
        <v>902.66443208963062</v>
      </c>
      <c r="O28" s="86" t="s">
        <v>32</v>
      </c>
    </row>
    <row r="29" spans="2:17" ht="15.75" x14ac:dyDescent="0.3">
      <c r="B29" s="33" t="s">
        <v>85</v>
      </c>
      <c r="C29" s="38" t="s">
        <v>86</v>
      </c>
      <c r="D29" s="39">
        <v>92.557591525457212</v>
      </c>
      <c r="E29" s="36" t="s">
        <v>87</v>
      </c>
      <c r="G29" s="112" t="s">
        <v>218</v>
      </c>
      <c r="H29" s="128" t="s">
        <v>278</v>
      </c>
      <c r="I29" s="115">
        <v>450.95115671641793</v>
      </c>
      <c r="J29" s="85" t="s">
        <v>222</v>
      </c>
      <c r="L29" s="118" t="s">
        <v>31</v>
      </c>
      <c r="M29" s="113"/>
      <c r="N29" s="115">
        <v>4513.3221604481532</v>
      </c>
      <c r="O29" s="86" t="s">
        <v>32</v>
      </c>
    </row>
    <row r="30" spans="2:17" ht="15.75" x14ac:dyDescent="0.3">
      <c r="B30" s="28" t="s">
        <v>88</v>
      </c>
      <c r="C30" s="29" t="s">
        <v>89</v>
      </c>
      <c r="D30" s="40">
        <v>7.6686362350497399</v>
      </c>
      <c r="E30" s="31" t="s">
        <v>90</v>
      </c>
      <c r="G30" s="112" t="s">
        <v>212</v>
      </c>
      <c r="H30" s="128" t="s">
        <v>272</v>
      </c>
      <c r="I30" s="116">
        <v>0.92999999999999994</v>
      </c>
      <c r="J30" s="85" t="s">
        <v>99</v>
      </c>
      <c r="L30" s="118" t="s">
        <v>30</v>
      </c>
      <c r="M30" s="113"/>
      <c r="N30" s="115">
        <v>959.41351369388303</v>
      </c>
      <c r="O30" s="86" t="s">
        <v>6</v>
      </c>
    </row>
    <row r="31" spans="2:17" ht="15.75" x14ac:dyDescent="0.3">
      <c r="B31" s="28" t="s">
        <v>91</v>
      </c>
      <c r="C31" s="29" t="s">
        <v>92</v>
      </c>
      <c r="D31" s="40">
        <v>7.6686362350497399</v>
      </c>
      <c r="E31" s="31" t="s">
        <v>90</v>
      </c>
      <c r="G31" s="112" t="s">
        <v>214</v>
      </c>
      <c r="H31" s="128" t="s">
        <v>285</v>
      </c>
      <c r="I31" s="116">
        <v>0.9414131854585166</v>
      </c>
      <c r="J31" s="117" t="s">
        <v>99</v>
      </c>
      <c r="L31" s="118" t="s">
        <v>33</v>
      </c>
      <c r="M31" s="113"/>
      <c r="N31" s="115">
        <v>8</v>
      </c>
      <c r="O31" s="85" t="s">
        <v>227</v>
      </c>
    </row>
    <row r="32" spans="2:17" ht="15.75" x14ac:dyDescent="0.2">
      <c r="B32" s="28" t="s">
        <v>93</v>
      </c>
      <c r="C32" s="29" t="s">
        <v>94</v>
      </c>
      <c r="D32" s="40">
        <v>6778</v>
      </c>
      <c r="E32" s="31" t="s">
        <v>52</v>
      </c>
      <c r="G32" s="112" t="s">
        <v>223</v>
      </c>
      <c r="H32" s="128" t="s">
        <v>286</v>
      </c>
      <c r="I32" s="116">
        <v>0.98480775301220802</v>
      </c>
      <c r="J32" s="85" t="s">
        <v>99</v>
      </c>
      <c r="L32" s="118" t="s">
        <v>34</v>
      </c>
      <c r="M32" s="113"/>
      <c r="N32" s="115">
        <v>30</v>
      </c>
      <c r="O32" s="86" t="s">
        <v>11</v>
      </c>
    </row>
    <row r="33" spans="2:15" x14ac:dyDescent="0.2">
      <c r="B33" s="28" t="s">
        <v>95</v>
      </c>
      <c r="C33" s="29" t="s">
        <v>96</v>
      </c>
      <c r="D33" s="40">
        <v>97.753049676644665</v>
      </c>
      <c r="E33" s="31" t="s">
        <v>97</v>
      </c>
      <c r="G33" s="118" t="s">
        <v>21</v>
      </c>
      <c r="H33" s="140"/>
      <c r="I33" s="115">
        <v>2459.413513693883</v>
      </c>
      <c r="J33" s="86" t="s">
        <v>6</v>
      </c>
      <c r="L33" s="112" t="s">
        <v>250</v>
      </c>
      <c r="M33" s="113"/>
      <c r="N33" s="115">
        <v>33.6</v>
      </c>
      <c r="O33" s="86" t="s">
        <v>11</v>
      </c>
    </row>
    <row r="34" spans="2:15" ht="13.5" thickBot="1" x14ac:dyDescent="0.25">
      <c r="B34" s="41" t="s">
        <v>95</v>
      </c>
      <c r="C34" s="42" t="s">
        <v>96</v>
      </c>
      <c r="D34" s="43">
        <v>15.5578810583456</v>
      </c>
      <c r="E34" s="44" t="s">
        <v>98</v>
      </c>
      <c r="G34" s="118" t="s">
        <v>22</v>
      </c>
      <c r="H34" s="140"/>
      <c r="I34" s="115">
        <v>2852.4423170130303</v>
      </c>
      <c r="J34" s="86" t="s">
        <v>6</v>
      </c>
      <c r="L34" s="118" t="s">
        <v>35</v>
      </c>
      <c r="M34" s="113"/>
      <c r="N34" s="115">
        <v>150.44407201493843</v>
      </c>
      <c r="O34" s="86" t="s">
        <v>36</v>
      </c>
    </row>
    <row r="35" spans="2:15" ht="14.25" x14ac:dyDescent="0.2">
      <c r="G35" s="112" t="s">
        <v>226</v>
      </c>
      <c r="H35" s="140"/>
      <c r="I35" s="119">
        <v>7.5294116698686251</v>
      </c>
      <c r="J35" s="85" t="s">
        <v>48</v>
      </c>
      <c r="L35" s="118" t="s">
        <v>37</v>
      </c>
      <c r="M35" s="113"/>
      <c r="N35" s="115">
        <v>16</v>
      </c>
      <c r="O35" s="85" t="s">
        <v>227</v>
      </c>
    </row>
    <row r="36" spans="2:15" ht="21" thickBot="1" x14ac:dyDescent="0.35">
      <c r="B36" s="13" t="s">
        <v>40</v>
      </c>
      <c r="G36" s="118" t="s">
        <v>23</v>
      </c>
      <c r="H36" s="140"/>
      <c r="I36" s="120">
        <v>2738</v>
      </c>
      <c r="J36" s="85" t="s">
        <v>227</v>
      </c>
      <c r="L36" s="118" t="s">
        <v>38</v>
      </c>
      <c r="M36" s="113"/>
      <c r="N36" s="115">
        <v>128</v>
      </c>
      <c r="O36" s="85" t="s">
        <v>227</v>
      </c>
    </row>
    <row r="37" spans="2:15" ht="15.75" x14ac:dyDescent="0.2">
      <c r="B37" s="5" t="s">
        <v>4</v>
      </c>
      <c r="C37" s="6" t="s">
        <v>59</v>
      </c>
      <c r="D37" s="6" t="s">
        <v>60</v>
      </c>
      <c r="E37" s="7" t="s">
        <v>61</v>
      </c>
      <c r="G37" s="118" t="s">
        <v>33</v>
      </c>
      <c r="H37" s="140"/>
      <c r="I37" s="120">
        <v>18</v>
      </c>
      <c r="J37" s="85" t="s">
        <v>227</v>
      </c>
      <c r="L37" s="124" t="s">
        <v>39</v>
      </c>
      <c r="M37" s="128" t="s">
        <v>290</v>
      </c>
      <c r="N37" s="120">
        <v>4800</v>
      </c>
      <c r="O37" s="87" t="s">
        <v>32</v>
      </c>
    </row>
    <row r="38" spans="2:15" ht="15.75" x14ac:dyDescent="0.2">
      <c r="B38" s="118" t="s">
        <v>51</v>
      </c>
      <c r="C38" s="139" t="s">
        <v>266</v>
      </c>
      <c r="D38" s="46">
        <v>45</v>
      </c>
      <c r="E38" s="47" t="s">
        <v>19</v>
      </c>
      <c r="G38" s="118" t="s">
        <v>25</v>
      </c>
      <c r="H38" s="140"/>
      <c r="I38" s="120">
        <v>153</v>
      </c>
      <c r="J38" s="85" t="s">
        <v>227</v>
      </c>
      <c r="L38" s="124" t="s">
        <v>252</v>
      </c>
      <c r="M38" s="128" t="s">
        <v>291</v>
      </c>
      <c r="N38" s="115">
        <v>35.555555555555557</v>
      </c>
      <c r="O38" s="85" t="s">
        <v>148</v>
      </c>
    </row>
    <row r="39" spans="2:15" ht="16.5" thickBot="1" x14ac:dyDescent="0.25">
      <c r="B39" s="118" t="s">
        <v>26</v>
      </c>
      <c r="C39" s="139" t="s">
        <v>82</v>
      </c>
      <c r="D39" s="48">
        <v>19.782270649752231</v>
      </c>
      <c r="E39" s="47" t="s">
        <v>19</v>
      </c>
      <c r="G39" s="112" t="s">
        <v>249</v>
      </c>
      <c r="H39" s="128" t="s">
        <v>273</v>
      </c>
      <c r="I39" s="120">
        <v>2754</v>
      </c>
      <c r="J39" s="85" t="s">
        <v>227</v>
      </c>
      <c r="L39" s="125" t="s">
        <v>253</v>
      </c>
      <c r="M39" s="142" t="s">
        <v>292</v>
      </c>
      <c r="N39" s="123">
        <v>17.777777777777779</v>
      </c>
      <c r="O39" s="105" t="s">
        <v>254</v>
      </c>
    </row>
    <row r="40" spans="2:15" ht="15.75" x14ac:dyDescent="0.2">
      <c r="B40" s="112" t="s">
        <v>261</v>
      </c>
      <c r="C40" s="139" t="s">
        <v>267</v>
      </c>
      <c r="D40" s="48">
        <v>70.217729350247765</v>
      </c>
      <c r="E40" s="47" t="s">
        <v>19</v>
      </c>
      <c r="G40" s="112" t="s">
        <v>296</v>
      </c>
      <c r="H40" s="128" t="s">
        <v>289</v>
      </c>
      <c r="I40" s="115">
        <v>8.4149999999999991</v>
      </c>
      <c r="J40" s="85" t="s">
        <v>48</v>
      </c>
    </row>
    <row r="41" spans="2:15" ht="15.75" x14ac:dyDescent="0.2">
      <c r="B41" s="112" t="s">
        <v>262</v>
      </c>
      <c r="C41" s="140"/>
      <c r="D41" s="52">
        <v>0.39009849639026534</v>
      </c>
      <c r="E41" s="51" t="s">
        <v>99</v>
      </c>
      <c r="G41" s="112" t="s">
        <v>297</v>
      </c>
      <c r="H41" s="140"/>
      <c r="I41" s="115">
        <v>39.148200000000003</v>
      </c>
      <c r="J41" s="85" t="s">
        <v>11</v>
      </c>
    </row>
    <row r="42" spans="2:15" ht="15.75" x14ac:dyDescent="0.2">
      <c r="B42" s="112" t="s">
        <v>264</v>
      </c>
      <c r="C42" s="128" t="s">
        <v>270</v>
      </c>
      <c r="D42" s="48">
        <v>36.106577283585224</v>
      </c>
      <c r="E42" s="51" t="s">
        <v>87</v>
      </c>
      <c r="G42" s="112" t="s">
        <v>298</v>
      </c>
      <c r="H42" s="140"/>
      <c r="I42" s="115">
        <v>42.21</v>
      </c>
      <c r="J42" s="85" t="s">
        <v>11</v>
      </c>
    </row>
    <row r="43" spans="2:15" ht="15.75" x14ac:dyDescent="0.2">
      <c r="B43" s="112" t="s">
        <v>265</v>
      </c>
      <c r="C43" s="128" t="s">
        <v>271</v>
      </c>
      <c r="D43" s="48">
        <v>56.451014241871988</v>
      </c>
      <c r="E43" s="51" t="s">
        <v>87</v>
      </c>
      <c r="G43" s="112" t="s">
        <v>299</v>
      </c>
      <c r="H43" s="140"/>
      <c r="I43" s="115">
        <v>63.191016798365119</v>
      </c>
      <c r="J43" s="85" t="s">
        <v>129</v>
      </c>
    </row>
    <row r="44" spans="2:15" ht="15.75" x14ac:dyDescent="0.2">
      <c r="B44" s="112" t="s">
        <v>27</v>
      </c>
      <c r="C44" s="128" t="s">
        <v>268</v>
      </c>
      <c r="D44" s="48">
        <v>31.574297212565085</v>
      </c>
      <c r="E44" s="51" t="s">
        <v>87</v>
      </c>
      <c r="G44" s="112" t="s">
        <v>300</v>
      </c>
      <c r="H44" s="140"/>
      <c r="I44" s="115">
        <v>73.289314451239136</v>
      </c>
      <c r="J44" s="85" t="s">
        <v>129</v>
      </c>
    </row>
    <row r="45" spans="2:15" ht="15.75" x14ac:dyDescent="0.2">
      <c r="B45" s="112" t="s">
        <v>28</v>
      </c>
      <c r="C45" s="128" t="s">
        <v>269</v>
      </c>
      <c r="D45" s="48">
        <v>60.983294312892127</v>
      </c>
      <c r="E45" s="51" t="s">
        <v>87</v>
      </c>
      <c r="G45" s="112" t="s">
        <v>259</v>
      </c>
      <c r="H45" s="128" t="s">
        <v>288</v>
      </c>
      <c r="I45" s="115">
        <v>2473.8145638257574</v>
      </c>
      <c r="J45" s="85" t="s">
        <v>6</v>
      </c>
    </row>
    <row r="46" spans="2:15" ht="16.5" thickBot="1" x14ac:dyDescent="0.25">
      <c r="B46" s="121" t="s">
        <v>100</v>
      </c>
      <c r="C46" s="142" t="s">
        <v>293</v>
      </c>
      <c r="D46" s="90">
        <v>28412.58028280365</v>
      </c>
      <c r="E46" s="98" t="s">
        <v>263</v>
      </c>
      <c r="G46" s="121" t="s">
        <v>257</v>
      </c>
      <c r="H46" s="142" t="s">
        <v>287</v>
      </c>
      <c r="I46" s="123">
        <v>2869.1447400000002</v>
      </c>
      <c r="J46" s="88" t="s">
        <v>6</v>
      </c>
    </row>
    <row r="48" spans="2:15" x14ac:dyDescent="0.2">
      <c r="C48"/>
      <c r="D48"/>
    </row>
    <row r="49" spans="2:26" ht="21" thickBot="1" x14ac:dyDescent="0.35">
      <c r="B49" s="13" t="s">
        <v>179</v>
      </c>
      <c r="M49" s="156" t="s">
        <v>200</v>
      </c>
      <c r="N49" s="157"/>
      <c r="O49" s="158"/>
      <c r="P49" s="156" t="s">
        <v>199</v>
      </c>
      <c r="Q49" s="157"/>
      <c r="R49" s="157"/>
      <c r="S49" s="157"/>
      <c r="T49" s="158"/>
      <c r="U49" s="75"/>
      <c r="V49" s="76" t="s">
        <v>202</v>
      </c>
      <c r="W49" s="77"/>
      <c r="X49" s="156" t="s">
        <v>204</v>
      </c>
      <c r="Y49" s="157"/>
      <c r="Z49" s="158"/>
    </row>
    <row r="50" spans="2:26" ht="13.5" thickBot="1" x14ac:dyDescent="0.25">
      <c r="B50" s="14" t="s">
        <v>183</v>
      </c>
      <c r="C50" s="14" t="s">
        <v>182</v>
      </c>
      <c r="D50" s="14" t="s">
        <v>120</v>
      </c>
      <c r="E50" s="14" t="s">
        <v>185</v>
      </c>
      <c r="F50" s="14" t="s">
        <v>24</v>
      </c>
      <c r="G50" s="14" t="s">
        <v>126</v>
      </c>
      <c r="H50" s="14" t="s">
        <v>130</v>
      </c>
      <c r="I50" s="14" t="s">
        <v>133</v>
      </c>
      <c r="J50" s="14" t="s">
        <v>127</v>
      </c>
      <c r="K50" s="14" t="s">
        <v>131</v>
      </c>
      <c r="L50" s="14" t="s">
        <v>194</v>
      </c>
      <c r="M50" s="61" t="s">
        <v>128</v>
      </c>
      <c r="N50" s="60" t="s">
        <v>132</v>
      </c>
      <c r="O50" s="62" t="s">
        <v>134</v>
      </c>
      <c r="P50" s="61" t="s">
        <v>196</v>
      </c>
      <c r="Q50" s="60" t="s">
        <v>130</v>
      </c>
      <c r="R50" s="60" t="s">
        <v>133</v>
      </c>
      <c r="S50" s="60" t="s">
        <v>127</v>
      </c>
      <c r="T50" s="62" t="s">
        <v>131</v>
      </c>
      <c r="U50" s="61" t="s">
        <v>133</v>
      </c>
      <c r="V50" s="60" t="s">
        <v>131</v>
      </c>
      <c r="W50" s="62" t="s">
        <v>194</v>
      </c>
      <c r="X50" s="14" t="s">
        <v>205</v>
      </c>
      <c r="Y50" s="14" t="s">
        <v>206</v>
      </c>
      <c r="Z50" s="14" t="s">
        <v>207</v>
      </c>
    </row>
    <row r="51" spans="2:26" ht="14.25" x14ac:dyDescent="0.2">
      <c r="B51" s="14"/>
      <c r="C51" s="14"/>
      <c r="D51" s="14"/>
      <c r="E51" s="14"/>
      <c r="F51" s="14" t="s">
        <v>181</v>
      </c>
      <c r="G51" s="14" t="s">
        <v>99</v>
      </c>
      <c r="H51" s="14" t="s">
        <v>193</v>
      </c>
      <c r="I51" s="14" t="s">
        <v>193</v>
      </c>
      <c r="J51" s="14" t="s">
        <v>11</v>
      </c>
      <c r="K51" s="14" t="s">
        <v>11</v>
      </c>
      <c r="L51" s="14" t="s">
        <v>195</v>
      </c>
      <c r="M51" s="61" t="s">
        <v>129</v>
      </c>
      <c r="N51" s="60" t="s">
        <v>129</v>
      </c>
      <c r="O51" s="62" t="s">
        <v>6</v>
      </c>
      <c r="P51" s="61" t="s">
        <v>135</v>
      </c>
      <c r="Q51" s="60" t="s">
        <v>197</v>
      </c>
      <c r="R51" s="60" t="s">
        <v>197</v>
      </c>
      <c r="S51" s="60" t="s">
        <v>198</v>
      </c>
      <c r="T51" s="62" t="s">
        <v>198</v>
      </c>
      <c r="U51" s="153" t="s">
        <v>203</v>
      </c>
      <c r="V51" s="154"/>
      <c r="W51" s="155"/>
      <c r="X51" s="14" t="s">
        <v>201</v>
      </c>
      <c r="Y51" s="14" t="s">
        <v>201</v>
      </c>
      <c r="Z51" s="14" t="s">
        <v>124</v>
      </c>
    </row>
    <row r="52" spans="2:26" x14ac:dyDescent="0.2">
      <c r="B52" s="11">
        <v>1</v>
      </c>
      <c r="C52" s="56" t="s">
        <v>8</v>
      </c>
      <c r="D52" s="57" t="s">
        <v>187</v>
      </c>
      <c r="E52" s="57" t="s">
        <v>186</v>
      </c>
      <c r="F52" s="17">
        <v>27.5</v>
      </c>
      <c r="G52" s="58">
        <v>0.14599999999999999</v>
      </c>
      <c r="H52" s="59">
        <v>42.5</v>
      </c>
      <c r="I52" s="59">
        <v>39.507600000000004</v>
      </c>
      <c r="J52" s="17">
        <v>0.60499999999999998</v>
      </c>
      <c r="K52" s="59">
        <v>0.5</v>
      </c>
      <c r="L52" s="59">
        <f t="shared" ref="L52:L69" si="0">I52*K52</f>
        <v>19.753800000000002</v>
      </c>
      <c r="M52" s="69">
        <f t="shared" ref="M52:M69" si="1">H52*F52/1000</f>
        <v>1.16875</v>
      </c>
      <c r="N52" s="70">
        <f t="shared" ref="N52:N69" si="2">I52*F52/1000</f>
        <v>1.0864590000000001</v>
      </c>
      <c r="O52" s="71">
        <f t="shared" ref="O52:O69" si="3">K52*N52</f>
        <v>0.54322950000000003</v>
      </c>
      <c r="P52" s="83">
        <v>28</v>
      </c>
      <c r="Q52" s="65">
        <v>22</v>
      </c>
      <c r="R52" s="65">
        <v>22</v>
      </c>
      <c r="S52" s="65">
        <v>-2.15</v>
      </c>
      <c r="T52" s="66">
        <v>-1.96</v>
      </c>
      <c r="U52" s="63">
        <v>0.86</v>
      </c>
      <c r="V52" s="65">
        <v>0.83</v>
      </c>
      <c r="W52" s="66">
        <v>0.71</v>
      </c>
      <c r="X52" s="17">
        <v>55</v>
      </c>
      <c r="Y52" s="57">
        <v>50</v>
      </c>
      <c r="Z52" s="59">
        <f t="shared" ref="Z52:Z69" si="4">(X52+Y52)/1000*F52</f>
        <v>2.8874999999999997</v>
      </c>
    </row>
    <row r="53" spans="2:26" x14ac:dyDescent="0.2">
      <c r="B53" s="11">
        <v>2</v>
      </c>
      <c r="C53" s="56" t="s">
        <v>188</v>
      </c>
      <c r="D53" s="57" t="s">
        <v>187</v>
      </c>
      <c r="E53" s="57" t="s">
        <v>186</v>
      </c>
      <c r="F53" s="17">
        <v>27.5</v>
      </c>
      <c r="G53" s="58">
        <v>0.16700000000000001</v>
      </c>
      <c r="H53" s="59">
        <v>46.87</v>
      </c>
      <c r="I53" s="59">
        <v>43.452115384615389</v>
      </c>
      <c r="J53" s="17">
        <v>0.625</v>
      </c>
      <c r="K53" s="59">
        <v>0.52</v>
      </c>
      <c r="L53" s="59">
        <f t="shared" si="0"/>
        <v>22.595100000000002</v>
      </c>
      <c r="M53" s="69">
        <f t="shared" si="1"/>
        <v>1.2889249999999999</v>
      </c>
      <c r="N53" s="70">
        <f t="shared" si="2"/>
        <v>1.194933173076923</v>
      </c>
      <c r="O53" s="71">
        <f t="shared" si="3"/>
        <v>0.62136524999999998</v>
      </c>
      <c r="P53" s="83">
        <v>28</v>
      </c>
      <c r="Q53" s="65">
        <v>45</v>
      </c>
      <c r="R53" s="65">
        <v>45</v>
      </c>
      <c r="S53" s="65">
        <v>-1.97</v>
      </c>
      <c r="T53" s="66">
        <v>-1.9</v>
      </c>
      <c r="U53" s="63">
        <v>0.95</v>
      </c>
      <c r="V53" s="65">
        <v>0.79</v>
      </c>
      <c r="W53" s="66">
        <v>0.75</v>
      </c>
      <c r="X53" s="17">
        <v>55</v>
      </c>
      <c r="Y53" s="57">
        <v>50</v>
      </c>
      <c r="Z53" s="59">
        <f t="shared" si="4"/>
        <v>2.8874999999999997</v>
      </c>
    </row>
    <row r="54" spans="2:26" x14ac:dyDescent="0.2">
      <c r="B54" s="11">
        <v>3</v>
      </c>
      <c r="C54" s="56" t="s">
        <v>7</v>
      </c>
      <c r="D54" s="57" t="s">
        <v>187</v>
      </c>
      <c r="E54" s="57" t="s">
        <v>186</v>
      </c>
      <c r="F54" s="17">
        <v>27.5</v>
      </c>
      <c r="G54" s="58">
        <v>0.19</v>
      </c>
      <c r="H54" s="59">
        <v>30</v>
      </c>
      <c r="I54" s="59">
        <v>28.563333333333333</v>
      </c>
      <c r="J54" s="17">
        <v>1.02</v>
      </c>
      <c r="K54" s="59">
        <v>0.9</v>
      </c>
      <c r="L54" s="59">
        <f t="shared" si="0"/>
        <v>25.707000000000001</v>
      </c>
      <c r="M54" s="69">
        <f t="shared" si="1"/>
        <v>0.82499999999999996</v>
      </c>
      <c r="N54" s="70">
        <f t="shared" si="2"/>
        <v>0.7854916666666667</v>
      </c>
      <c r="O54" s="71">
        <f t="shared" si="3"/>
        <v>0.70694250000000003</v>
      </c>
      <c r="P54" s="83">
        <v>28</v>
      </c>
      <c r="Q54" s="65">
        <v>20</v>
      </c>
      <c r="R54" s="65">
        <v>20</v>
      </c>
      <c r="S54" s="65">
        <v>-1.9</v>
      </c>
      <c r="T54" s="66">
        <v>-1.8</v>
      </c>
      <c r="U54" s="63">
        <v>0.83</v>
      </c>
      <c r="V54" s="65">
        <v>0.9</v>
      </c>
      <c r="W54" s="66">
        <v>0.75</v>
      </c>
      <c r="X54" s="17">
        <v>84</v>
      </c>
      <c r="Y54" s="57">
        <v>50</v>
      </c>
      <c r="Z54" s="59">
        <f t="shared" si="4"/>
        <v>3.6850000000000001</v>
      </c>
    </row>
    <row r="55" spans="2:26" x14ac:dyDescent="0.2">
      <c r="B55" s="11">
        <v>4</v>
      </c>
      <c r="C55" s="56" t="s">
        <v>192</v>
      </c>
      <c r="D55" s="57" t="s">
        <v>187</v>
      </c>
      <c r="E55" s="57" t="s">
        <v>189</v>
      </c>
      <c r="F55" s="17">
        <v>27.5</v>
      </c>
      <c r="G55" s="58">
        <v>0.218</v>
      </c>
      <c r="H55" s="59">
        <v>15.5</v>
      </c>
      <c r="I55" s="59">
        <v>14.146474820143887</v>
      </c>
      <c r="J55" s="17">
        <v>2.36</v>
      </c>
      <c r="K55" s="59">
        <v>2.085</v>
      </c>
      <c r="L55" s="59">
        <f t="shared" si="0"/>
        <v>29.495400000000004</v>
      </c>
      <c r="M55" s="69">
        <f t="shared" si="1"/>
        <v>0.42625000000000002</v>
      </c>
      <c r="N55" s="70">
        <f t="shared" si="2"/>
        <v>0.38902805755395692</v>
      </c>
      <c r="O55" s="71">
        <f t="shared" si="3"/>
        <v>0.81112350000000011</v>
      </c>
      <c r="P55" s="83">
        <v>28</v>
      </c>
      <c r="Q55" s="65">
        <v>12</v>
      </c>
      <c r="R55" s="65">
        <v>13</v>
      </c>
      <c r="S55" s="65">
        <v>-5</v>
      </c>
      <c r="T55" s="66">
        <v>-4.8</v>
      </c>
      <c r="U55" s="63">
        <v>0.91</v>
      </c>
      <c r="V55" s="65">
        <v>0.91</v>
      </c>
      <c r="W55" s="66">
        <v>0.83</v>
      </c>
      <c r="X55" s="17">
        <v>84</v>
      </c>
      <c r="Y55" s="57">
        <v>50</v>
      </c>
      <c r="Z55" s="59">
        <f t="shared" si="4"/>
        <v>3.6850000000000001</v>
      </c>
    </row>
    <row r="56" spans="2:26" x14ac:dyDescent="0.2">
      <c r="B56" s="11">
        <v>5</v>
      </c>
      <c r="C56" s="56" t="s">
        <v>191</v>
      </c>
      <c r="D56" s="57" t="s">
        <v>187</v>
      </c>
      <c r="E56" s="57" t="s">
        <v>190</v>
      </c>
      <c r="F56" s="17">
        <v>27.5</v>
      </c>
      <c r="G56" s="58">
        <v>0.28000000000000003</v>
      </c>
      <c r="H56" s="59">
        <v>17</v>
      </c>
      <c r="I56" s="59">
        <v>16.155223880597017</v>
      </c>
      <c r="J56" s="17">
        <v>2.66</v>
      </c>
      <c r="K56" s="59">
        <v>2.3450000000000002</v>
      </c>
      <c r="L56" s="59">
        <f t="shared" si="0"/>
        <v>37.884000000000007</v>
      </c>
      <c r="M56" s="69">
        <f t="shared" si="1"/>
        <v>0.46750000000000003</v>
      </c>
      <c r="N56" s="70">
        <f t="shared" si="2"/>
        <v>0.44426865671641796</v>
      </c>
      <c r="O56" s="71">
        <f t="shared" si="3"/>
        <v>1.0418100000000001</v>
      </c>
      <c r="P56" s="83">
        <v>28</v>
      </c>
      <c r="Q56" s="65">
        <v>12</v>
      </c>
      <c r="R56" s="65">
        <v>9</v>
      </c>
      <c r="S56" s="65">
        <v>-6.8</v>
      </c>
      <c r="T56" s="66">
        <v>-6.3</v>
      </c>
      <c r="U56" s="63">
        <v>0.95</v>
      </c>
      <c r="V56" s="65">
        <v>0.9</v>
      </c>
      <c r="W56" s="66">
        <v>0.86</v>
      </c>
      <c r="X56" s="17">
        <v>84</v>
      </c>
      <c r="Y56" s="57">
        <v>50</v>
      </c>
      <c r="Z56" s="59">
        <f t="shared" si="4"/>
        <v>3.6850000000000001</v>
      </c>
    </row>
    <row r="57" spans="2:26" x14ac:dyDescent="0.2">
      <c r="B57" s="11">
        <v>6</v>
      </c>
      <c r="C57" s="11" t="s">
        <v>107</v>
      </c>
      <c r="D57" s="17" t="s">
        <v>121</v>
      </c>
      <c r="E57" s="57"/>
      <c r="F57" s="17">
        <v>27.5</v>
      </c>
      <c r="G57" s="58">
        <v>0.27500000000000002</v>
      </c>
      <c r="H57" s="59">
        <v>17.100000000000001</v>
      </c>
      <c r="I57" s="59">
        <v>16.177173913043482</v>
      </c>
      <c r="J57" s="59">
        <v>2.6</v>
      </c>
      <c r="K57" s="59">
        <v>2.2999999999999998</v>
      </c>
      <c r="L57" s="59">
        <f t="shared" si="0"/>
        <v>37.207500000000003</v>
      </c>
      <c r="M57" s="69">
        <f t="shared" si="1"/>
        <v>0.47025000000000006</v>
      </c>
      <c r="N57" s="70">
        <f t="shared" si="2"/>
        <v>0.44487228260869577</v>
      </c>
      <c r="O57" s="71">
        <f t="shared" si="3"/>
        <v>1.0232062500000001</v>
      </c>
      <c r="P57" s="83">
        <v>28</v>
      </c>
      <c r="Q57" s="65"/>
      <c r="R57" s="65"/>
      <c r="S57" s="65"/>
      <c r="T57" s="66"/>
      <c r="U57" s="63"/>
      <c r="V57" s="65"/>
      <c r="W57" s="66"/>
      <c r="X57" s="17">
        <v>84</v>
      </c>
      <c r="Y57" s="57">
        <v>50</v>
      </c>
      <c r="Z57" s="59">
        <f t="shared" si="4"/>
        <v>3.6850000000000001</v>
      </c>
    </row>
    <row r="58" spans="2:26" x14ac:dyDescent="0.2">
      <c r="B58" s="11">
        <v>7</v>
      </c>
      <c r="C58" s="11" t="s">
        <v>108</v>
      </c>
      <c r="D58" s="17" t="s">
        <v>121</v>
      </c>
      <c r="E58" s="57"/>
      <c r="F58" s="17">
        <v>27.5</v>
      </c>
      <c r="G58" s="58">
        <v>0.27</v>
      </c>
      <c r="H58" s="59">
        <v>16.899999999999999</v>
      </c>
      <c r="I58" s="59">
        <v>15.987308533916851</v>
      </c>
      <c r="J58" s="59">
        <v>2.5750000000000002</v>
      </c>
      <c r="K58" s="59">
        <v>2.2850000000000001</v>
      </c>
      <c r="L58" s="59">
        <f t="shared" si="0"/>
        <v>36.531000000000006</v>
      </c>
      <c r="M58" s="69">
        <f t="shared" si="1"/>
        <v>0.46474999999999994</v>
      </c>
      <c r="N58" s="70">
        <f t="shared" si="2"/>
        <v>0.43965098468271341</v>
      </c>
      <c r="O58" s="71">
        <f t="shared" si="3"/>
        <v>1.0046025000000003</v>
      </c>
      <c r="P58" s="83">
        <v>28</v>
      </c>
      <c r="Q58" s="65"/>
      <c r="R58" s="65"/>
      <c r="S58" s="65"/>
      <c r="T58" s="66"/>
      <c r="U58" s="63"/>
      <c r="V58" s="65"/>
      <c r="W58" s="66"/>
      <c r="X58" s="17">
        <v>84</v>
      </c>
      <c r="Y58" s="57">
        <v>50</v>
      </c>
      <c r="Z58" s="59">
        <f t="shared" si="4"/>
        <v>3.6850000000000001</v>
      </c>
    </row>
    <row r="59" spans="2:26" x14ac:dyDescent="0.2">
      <c r="B59" s="11">
        <v>8</v>
      </c>
      <c r="C59" s="11" t="s">
        <v>109</v>
      </c>
      <c r="D59" s="17" t="s">
        <v>121</v>
      </c>
      <c r="E59" s="57"/>
      <c r="F59" s="17">
        <v>26.6</v>
      </c>
      <c r="G59" s="58">
        <v>0.28499999999999998</v>
      </c>
      <c r="H59" s="59">
        <v>17.100000000000001</v>
      </c>
      <c r="I59" s="59">
        <v>16.270253164556959</v>
      </c>
      <c r="J59" s="59">
        <v>2.7</v>
      </c>
      <c r="K59" s="59">
        <v>2.37</v>
      </c>
      <c r="L59" s="59">
        <f t="shared" si="0"/>
        <v>38.56049999999999</v>
      </c>
      <c r="M59" s="69">
        <f t="shared" si="1"/>
        <v>0.4548600000000001</v>
      </c>
      <c r="N59" s="70">
        <f t="shared" si="2"/>
        <v>0.43278873417721514</v>
      </c>
      <c r="O59" s="71">
        <f t="shared" si="3"/>
        <v>1.0257092999999999</v>
      </c>
      <c r="P59" s="83">
        <v>28</v>
      </c>
      <c r="Q59" s="65"/>
      <c r="R59" s="65"/>
      <c r="S59" s="65"/>
      <c r="T59" s="66"/>
      <c r="U59" s="63"/>
      <c r="V59" s="65"/>
      <c r="W59" s="66"/>
      <c r="X59" s="17">
        <v>84</v>
      </c>
      <c r="Y59" s="57">
        <v>50</v>
      </c>
      <c r="Z59" s="59">
        <f t="shared" si="4"/>
        <v>3.5644000000000005</v>
      </c>
    </row>
    <row r="60" spans="2:26" x14ac:dyDescent="0.2">
      <c r="B60" s="11">
        <v>9</v>
      </c>
      <c r="C60" s="11" t="s">
        <v>110</v>
      </c>
      <c r="D60" s="17" t="s">
        <v>121</v>
      </c>
      <c r="E60" s="57"/>
      <c r="F60" s="17">
        <v>27.5</v>
      </c>
      <c r="G60" s="58">
        <v>0.28000000000000003</v>
      </c>
      <c r="H60" s="59">
        <v>17</v>
      </c>
      <c r="I60" s="59">
        <v>16.259227467811161</v>
      </c>
      <c r="J60" s="59">
        <v>2.69</v>
      </c>
      <c r="K60" s="59">
        <v>2.33</v>
      </c>
      <c r="L60" s="59">
        <f t="shared" si="0"/>
        <v>37.884000000000007</v>
      </c>
      <c r="M60" s="69">
        <f t="shared" si="1"/>
        <v>0.46750000000000003</v>
      </c>
      <c r="N60" s="70">
        <f t="shared" si="2"/>
        <v>0.4471287553648069</v>
      </c>
      <c r="O60" s="71">
        <f t="shared" si="3"/>
        <v>1.0418100000000001</v>
      </c>
      <c r="P60" s="83">
        <v>28</v>
      </c>
      <c r="Q60" s="65"/>
      <c r="R60" s="65"/>
      <c r="S60" s="65"/>
      <c r="T60" s="66"/>
      <c r="U60" s="63"/>
      <c r="V60" s="65"/>
      <c r="W60" s="66"/>
      <c r="X60" s="17">
        <v>84</v>
      </c>
      <c r="Y60" s="57">
        <v>50</v>
      </c>
      <c r="Z60" s="59">
        <f t="shared" si="4"/>
        <v>3.6850000000000001</v>
      </c>
    </row>
    <row r="61" spans="2:26" x14ac:dyDescent="0.2">
      <c r="B61" s="11">
        <v>10</v>
      </c>
      <c r="C61" s="11" t="s">
        <v>111</v>
      </c>
      <c r="D61" s="17" t="s">
        <v>122</v>
      </c>
      <c r="E61" s="57"/>
      <c r="F61" s="17">
        <v>27.5</v>
      </c>
      <c r="G61" s="58">
        <v>0.215</v>
      </c>
      <c r="H61" s="59">
        <v>15.05</v>
      </c>
      <c r="I61" s="59">
        <v>13.95179856115108</v>
      </c>
      <c r="J61" s="59">
        <v>2.36</v>
      </c>
      <c r="K61" s="59">
        <v>2.085</v>
      </c>
      <c r="L61" s="59">
        <f t="shared" si="0"/>
        <v>29.089500000000001</v>
      </c>
      <c r="M61" s="69">
        <f t="shared" si="1"/>
        <v>0.41387499999999999</v>
      </c>
      <c r="N61" s="70">
        <f t="shared" si="2"/>
        <v>0.38367446043165465</v>
      </c>
      <c r="O61" s="71">
        <f t="shared" si="3"/>
        <v>0.79996124999999996</v>
      </c>
      <c r="P61" s="83">
        <v>28</v>
      </c>
      <c r="Q61" s="65"/>
      <c r="R61" s="65"/>
      <c r="S61" s="65"/>
      <c r="T61" s="66"/>
      <c r="U61" s="63"/>
      <c r="V61" s="65"/>
      <c r="W61" s="66"/>
      <c r="X61" s="17">
        <v>84</v>
      </c>
      <c r="Y61" s="57">
        <v>50</v>
      </c>
      <c r="Z61" s="59">
        <f t="shared" si="4"/>
        <v>3.6850000000000001</v>
      </c>
    </row>
    <row r="62" spans="2:26" x14ac:dyDescent="0.2">
      <c r="B62" s="11">
        <v>11</v>
      </c>
      <c r="C62" s="11" t="s">
        <v>112</v>
      </c>
      <c r="D62" s="17" t="s">
        <v>122</v>
      </c>
      <c r="E62" s="57"/>
      <c r="F62" s="17">
        <v>27.5</v>
      </c>
      <c r="G62" s="58">
        <v>0.19</v>
      </c>
      <c r="H62" s="59">
        <v>30.5</v>
      </c>
      <c r="I62" s="59">
        <v>28.563333333333333</v>
      </c>
      <c r="J62" s="59">
        <v>1.0249999999999999</v>
      </c>
      <c r="K62" s="59">
        <v>0.9</v>
      </c>
      <c r="L62" s="59">
        <f t="shared" si="0"/>
        <v>25.707000000000001</v>
      </c>
      <c r="M62" s="69">
        <f t="shared" si="1"/>
        <v>0.83875</v>
      </c>
      <c r="N62" s="70">
        <f t="shared" si="2"/>
        <v>0.7854916666666667</v>
      </c>
      <c r="O62" s="71">
        <f t="shared" si="3"/>
        <v>0.70694250000000003</v>
      </c>
      <c r="P62" s="83">
        <v>28</v>
      </c>
      <c r="Q62" s="65"/>
      <c r="R62" s="65"/>
      <c r="S62" s="65"/>
      <c r="T62" s="66"/>
      <c r="U62" s="63"/>
      <c r="V62" s="65"/>
      <c r="W62" s="66"/>
      <c r="X62" s="17">
        <v>80</v>
      </c>
      <c r="Y62" s="57">
        <v>50</v>
      </c>
      <c r="Z62" s="59">
        <f t="shared" si="4"/>
        <v>3.5750000000000002</v>
      </c>
    </row>
    <row r="63" spans="2:26" x14ac:dyDescent="0.2">
      <c r="B63" s="11">
        <v>12</v>
      </c>
      <c r="C63" s="11" t="s">
        <v>113</v>
      </c>
      <c r="D63" s="17" t="s">
        <v>123</v>
      </c>
      <c r="E63" s="57"/>
      <c r="F63" s="17">
        <v>27.5</v>
      </c>
      <c r="G63" s="58">
        <v>0.251</v>
      </c>
      <c r="H63" s="59">
        <v>15.6</v>
      </c>
      <c r="I63" s="59">
        <v>14.927604395604398</v>
      </c>
      <c r="J63" s="59">
        <v>2.5449999999999999</v>
      </c>
      <c r="K63" s="59">
        <v>2.2749999999999999</v>
      </c>
      <c r="L63" s="59">
        <f t="shared" si="0"/>
        <v>33.960300000000004</v>
      </c>
      <c r="M63" s="69">
        <f t="shared" si="1"/>
        <v>0.42899999999999999</v>
      </c>
      <c r="N63" s="70">
        <f t="shared" si="2"/>
        <v>0.41050912087912095</v>
      </c>
      <c r="O63" s="71">
        <f t="shared" si="3"/>
        <v>0.93390825000000011</v>
      </c>
      <c r="P63" s="83">
        <v>28</v>
      </c>
      <c r="Q63" s="65"/>
      <c r="R63" s="65"/>
      <c r="S63" s="65"/>
      <c r="T63" s="66"/>
      <c r="U63" s="63"/>
      <c r="V63" s="65"/>
      <c r="W63" s="66"/>
      <c r="X63" s="17">
        <v>84</v>
      </c>
      <c r="Y63" s="57">
        <v>50</v>
      </c>
      <c r="Z63" s="59">
        <f t="shared" si="4"/>
        <v>3.6850000000000001</v>
      </c>
    </row>
    <row r="64" spans="2:26" x14ac:dyDescent="0.2">
      <c r="B64" s="11">
        <v>13</v>
      </c>
      <c r="C64" s="11" t="s">
        <v>114</v>
      </c>
      <c r="D64" s="17" t="s">
        <v>123</v>
      </c>
      <c r="E64" s="57"/>
      <c r="F64" s="17">
        <v>27.5</v>
      </c>
      <c r="G64" s="58">
        <v>0.26800000000000002</v>
      </c>
      <c r="H64" s="59">
        <v>16.899999999999999</v>
      </c>
      <c r="I64" s="59">
        <v>15.973744493392072</v>
      </c>
      <c r="J64" s="59">
        <v>2.5649999999999999</v>
      </c>
      <c r="K64" s="59">
        <v>2.27</v>
      </c>
      <c r="L64" s="59">
        <f t="shared" si="0"/>
        <v>36.260400000000004</v>
      </c>
      <c r="M64" s="69">
        <f t="shared" si="1"/>
        <v>0.46474999999999994</v>
      </c>
      <c r="N64" s="70">
        <f t="shared" si="2"/>
        <v>0.43927797356828202</v>
      </c>
      <c r="O64" s="71">
        <f t="shared" si="3"/>
        <v>0.99716100000000019</v>
      </c>
      <c r="P64" s="83">
        <v>28</v>
      </c>
      <c r="Q64" s="65"/>
      <c r="R64" s="65"/>
      <c r="S64" s="65"/>
      <c r="T64" s="66"/>
      <c r="U64" s="63"/>
      <c r="V64" s="65"/>
      <c r="W64" s="66"/>
      <c r="X64" s="17">
        <v>84</v>
      </c>
      <c r="Y64" s="57">
        <v>50</v>
      </c>
      <c r="Z64" s="59">
        <f t="shared" si="4"/>
        <v>3.6850000000000001</v>
      </c>
    </row>
    <row r="65" spans="2:26" x14ac:dyDescent="0.2">
      <c r="B65" s="11">
        <v>14</v>
      </c>
      <c r="C65" s="11" t="s">
        <v>115</v>
      </c>
      <c r="D65" s="17" t="s">
        <v>123</v>
      </c>
      <c r="E65" s="57"/>
      <c r="F65" s="17">
        <v>27.5</v>
      </c>
      <c r="G65" s="58">
        <v>0.28299999999999997</v>
      </c>
      <c r="H65" s="59">
        <v>17.05</v>
      </c>
      <c r="I65" s="59">
        <v>16.293574468085108</v>
      </c>
      <c r="J65" s="59">
        <v>2.665</v>
      </c>
      <c r="K65" s="59">
        <v>2.35</v>
      </c>
      <c r="L65" s="59">
        <f t="shared" si="0"/>
        <v>38.289900000000003</v>
      </c>
      <c r="M65" s="69">
        <f t="shared" si="1"/>
        <v>0.46887499999999999</v>
      </c>
      <c r="N65" s="70">
        <f t="shared" si="2"/>
        <v>0.44807329787234046</v>
      </c>
      <c r="O65" s="71">
        <f t="shared" si="3"/>
        <v>1.0529722500000001</v>
      </c>
      <c r="P65" s="83">
        <v>28</v>
      </c>
      <c r="Q65" s="65"/>
      <c r="R65" s="65"/>
      <c r="S65" s="65"/>
      <c r="T65" s="66"/>
      <c r="U65" s="63"/>
      <c r="V65" s="65"/>
      <c r="W65" s="66"/>
      <c r="X65" s="17">
        <v>84</v>
      </c>
      <c r="Y65" s="57">
        <v>50</v>
      </c>
      <c r="Z65" s="59">
        <f t="shared" si="4"/>
        <v>3.6850000000000001</v>
      </c>
    </row>
    <row r="66" spans="2:26" x14ac:dyDescent="0.2">
      <c r="B66" s="11">
        <v>15</v>
      </c>
      <c r="C66" s="11" t="s">
        <v>116</v>
      </c>
      <c r="D66" s="17" t="s">
        <v>123</v>
      </c>
      <c r="E66" s="57"/>
      <c r="F66" s="17">
        <v>27.5</v>
      </c>
      <c r="G66" s="58">
        <v>0.13300000000000001</v>
      </c>
      <c r="H66" s="59">
        <v>39.200000000000003</v>
      </c>
      <c r="I66" s="59">
        <v>36.72428571428572</v>
      </c>
      <c r="J66" s="59">
        <v>0.58499999999999996</v>
      </c>
      <c r="K66" s="59">
        <v>0.49</v>
      </c>
      <c r="L66" s="59">
        <f t="shared" si="0"/>
        <v>17.994900000000001</v>
      </c>
      <c r="M66" s="69">
        <f t="shared" si="1"/>
        <v>1.0780000000000001</v>
      </c>
      <c r="N66" s="70">
        <f t="shared" si="2"/>
        <v>1.0099178571428573</v>
      </c>
      <c r="O66" s="71">
        <f t="shared" si="3"/>
        <v>0.4948597500000001</v>
      </c>
      <c r="P66" s="83">
        <v>28</v>
      </c>
      <c r="Q66" s="65"/>
      <c r="R66" s="65"/>
      <c r="S66" s="65"/>
      <c r="T66" s="66"/>
      <c r="U66" s="63"/>
      <c r="V66" s="65"/>
      <c r="W66" s="66"/>
      <c r="X66" s="17">
        <v>55</v>
      </c>
      <c r="Y66" s="57">
        <v>50</v>
      </c>
      <c r="Z66" s="59">
        <f t="shared" si="4"/>
        <v>2.8874999999999997</v>
      </c>
    </row>
    <row r="67" spans="2:26" x14ac:dyDescent="0.2">
      <c r="B67" s="11">
        <v>16</v>
      </c>
      <c r="C67" s="11" t="s">
        <v>117</v>
      </c>
      <c r="D67" s="17" t="s">
        <v>123</v>
      </c>
      <c r="E67" s="57"/>
      <c r="F67" s="17">
        <v>27.5</v>
      </c>
      <c r="G67" s="58">
        <v>0.123</v>
      </c>
      <c r="H67" s="59">
        <v>39.299999999999997</v>
      </c>
      <c r="I67" s="59">
        <v>36.656167400881053</v>
      </c>
      <c r="J67" s="59">
        <v>0.54500000000000004</v>
      </c>
      <c r="K67" s="59">
        <v>0.45400000000000001</v>
      </c>
      <c r="L67" s="59">
        <f t="shared" si="0"/>
        <v>16.6419</v>
      </c>
      <c r="M67" s="69">
        <f t="shared" si="1"/>
        <v>1.0807500000000001</v>
      </c>
      <c r="N67" s="70">
        <f t="shared" si="2"/>
        <v>1.008044603524229</v>
      </c>
      <c r="O67" s="71">
        <f t="shared" si="3"/>
        <v>0.45765224999999998</v>
      </c>
      <c r="P67" s="83">
        <v>28</v>
      </c>
      <c r="Q67" s="65"/>
      <c r="R67" s="65"/>
      <c r="S67" s="65"/>
      <c r="T67" s="66"/>
      <c r="U67" s="63"/>
      <c r="V67" s="65"/>
      <c r="W67" s="66"/>
      <c r="X67" s="17">
        <v>55</v>
      </c>
      <c r="Y67" s="57">
        <v>50</v>
      </c>
      <c r="Z67" s="59">
        <f t="shared" si="4"/>
        <v>2.8874999999999997</v>
      </c>
    </row>
    <row r="68" spans="2:26" x14ac:dyDescent="0.2">
      <c r="B68" s="11">
        <v>17</v>
      </c>
      <c r="C68" s="11" t="s">
        <v>118</v>
      </c>
      <c r="D68" s="17" t="s">
        <v>123</v>
      </c>
      <c r="E68" s="57"/>
      <c r="F68" s="17">
        <v>27.5</v>
      </c>
      <c r="G68" s="58">
        <v>0.13700000000000001</v>
      </c>
      <c r="H68" s="59">
        <v>39</v>
      </c>
      <c r="I68" s="59">
        <v>37.072200000000009</v>
      </c>
      <c r="J68" s="59">
        <v>0.60499999999999998</v>
      </c>
      <c r="K68" s="59">
        <v>0.5</v>
      </c>
      <c r="L68" s="59">
        <f t="shared" si="0"/>
        <v>18.536100000000005</v>
      </c>
      <c r="M68" s="69">
        <f t="shared" si="1"/>
        <v>1.0725</v>
      </c>
      <c r="N68" s="70">
        <f t="shared" si="2"/>
        <v>1.0194855000000003</v>
      </c>
      <c r="O68" s="71">
        <f t="shared" si="3"/>
        <v>0.50974275000000013</v>
      </c>
      <c r="P68" s="83">
        <v>28</v>
      </c>
      <c r="Q68" s="65"/>
      <c r="R68" s="65"/>
      <c r="S68" s="65"/>
      <c r="T68" s="66"/>
      <c r="U68" s="63"/>
      <c r="V68" s="65"/>
      <c r="W68" s="66"/>
      <c r="X68" s="17">
        <v>24</v>
      </c>
      <c r="Y68" s="57">
        <v>50</v>
      </c>
      <c r="Z68" s="59">
        <f t="shared" si="4"/>
        <v>2.0349999999999997</v>
      </c>
    </row>
    <row r="69" spans="2:26" ht="13.5" thickBot="1" x14ac:dyDescent="0.25">
      <c r="B69" s="11">
        <v>18</v>
      </c>
      <c r="C69" s="11" t="s">
        <v>119</v>
      </c>
      <c r="D69" s="17" t="s">
        <v>123</v>
      </c>
      <c r="E69" s="57"/>
      <c r="F69" s="17">
        <v>27.5</v>
      </c>
      <c r="G69" s="58">
        <v>0.14199999999999999</v>
      </c>
      <c r="H69" s="59">
        <v>41.9</v>
      </c>
      <c r="I69" s="59">
        <v>38.425199999999997</v>
      </c>
      <c r="J69" s="59">
        <v>0.61799999999999999</v>
      </c>
      <c r="K69" s="59">
        <v>0.5</v>
      </c>
      <c r="L69" s="59">
        <f t="shared" si="0"/>
        <v>19.212599999999998</v>
      </c>
      <c r="M69" s="72">
        <f t="shared" si="1"/>
        <v>1.15225</v>
      </c>
      <c r="N69" s="73">
        <f t="shared" si="2"/>
        <v>1.0566929999999999</v>
      </c>
      <c r="O69" s="74">
        <f t="shared" si="3"/>
        <v>0.52834649999999994</v>
      </c>
      <c r="P69" s="84">
        <v>28</v>
      </c>
      <c r="Q69" s="67"/>
      <c r="R69" s="67"/>
      <c r="S69" s="67"/>
      <c r="T69" s="68"/>
      <c r="U69" s="64"/>
      <c r="V69" s="67"/>
      <c r="W69" s="68"/>
      <c r="X69" s="17">
        <v>55</v>
      </c>
      <c r="Y69" s="57">
        <v>50</v>
      </c>
      <c r="Z69" s="59">
        <f t="shared" si="4"/>
        <v>2.8874999999999997</v>
      </c>
    </row>
    <row r="70" spans="2:26" x14ac:dyDescent="0.2">
      <c r="B70" s="14"/>
      <c r="C70" s="79" t="s">
        <v>208</v>
      </c>
      <c r="D70" s="14">
        <v>3</v>
      </c>
      <c r="E70" s="14">
        <v>4</v>
      </c>
      <c r="F70" s="14">
        <v>5</v>
      </c>
      <c r="G70" s="14">
        <v>6</v>
      </c>
      <c r="H70" s="14">
        <v>7</v>
      </c>
      <c r="I70" s="14">
        <v>8</v>
      </c>
      <c r="J70" s="14">
        <v>9</v>
      </c>
      <c r="K70" s="14">
        <v>10</v>
      </c>
      <c r="L70" s="14">
        <v>11</v>
      </c>
      <c r="M70" s="14">
        <v>12</v>
      </c>
      <c r="N70" s="14">
        <v>13</v>
      </c>
      <c r="O70" s="14">
        <v>14</v>
      </c>
      <c r="P70" s="14">
        <v>15</v>
      </c>
      <c r="Q70" s="14">
        <v>16</v>
      </c>
      <c r="R70" s="14">
        <v>17</v>
      </c>
      <c r="S70" s="14">
        <v>18</v>
      </c>
      <c r="T70" s="14">
        <v>19</v>
      </c>
      <c r="U70" s="14">
        <v>20</v>
      </c>
      <c r="V70" s="14">
        <v>21</v>
      </c>
      <c r="W70" s="14">
        <v>22</v>
      </c>
      <c r="X70" s="14">
        <v>23</v>
      </c>
      <c r="Y70" s="14">
        <v>24</v>
      </c>
      <c r="Z70" s="14">
        <v>25</v>
      </c>
    </row>
    <row r="71" spans="2:26" x14ac:dyDescent="0.2">
      <c r="C71"/>
      <c r="D71"/>
    </row>
    <row r="72" spans="2:26" x14ac:dyDescent="0.2">
      <c r="C72"/>
      <c r="D72"/>
    </row>
    <row r="73" spans="2:26" x14ac:dyDescent="0.2">
      <c r="C73"/>
      <c r="D73"/>
    </row>
    <row r="74" spans="2:26" ht="21" thickBot="1" x14ac:dyDescent="0.35">
      <c r="B74" s="13" t="s">
        <v>180</v>
      </c>
      <c r="C74"/>
      <c r="D74"/>
    </row>
    <row r="75" spans="2:26" ht="13.5" thickBot="1" x14ac:dyDescent="0.25">
      <c r="B75" s="14" t="s">
        <v>183</v>
      </c>
      <c r="C75" s="14" t="s">
        <v>2</v>
      </c>
      <c r="D75" s="14" t="s">
        <v>120</v>
      </c>
      <c r="E75" s="14" t="s">
        <v>233</v>
      </c>
      <c r="F75" s="14" t="s">
        <v>137</v>
      </c>
      <c r="G75" s="14" t="s">
        <v>138</v>
      </c>
      <c r="H75" s="14" t="s">
        <v>140</v>
      </c>
      <c r="I75" s="14" t="s">
        <v>236</v>
      </c>
      <c r="J75" s="14" t="s">
        <v>42</v>
      </c>
      <c r="K75" s="14" t="s">
        <v>238</v>
      </c>
      <c r="L75" s="14" t="s">
        <v>239</v>
      </c>
      <c r="M75" s="14" t="s">
        <v>240</v>
      </c>
      <c r="N75" s="14" t="s">
        <v>136</v>
      </c>
      <c r="O75" s="14" t="s">
        <v>139</v>
      </c>
      <c r="P75" s="14" t="s">
        <v>141</v>
      </c>
      <c r="Q75" s="14" t="s">
        <v>142</v>
      </c>
      <c r="R75" s="14" t="s">
        <v>143</v>
      </c>
      <c r="S75" s="14" t="s">
        <v>144</v>
      </c>
      <c r="T75" s="14" t="s">
        <v>145</v>
      </c>
      <c r="U75" s="14" t="s">
        <v>146</v>
      </c>
      <c r="V75" s="14" t="s">
        <v>147</v>
      </c>
    </row>
    <row r="76" spans="2:26" ht="14.25" x14ac:dyDescent="0.2">
      <c r="B76" s="14"/>
      <c r="C76" s="14" t="s">
        <v>3</v>
      </c>
      <c r="D76" s="14"/>
      <c r="E76" s="14"/>
      <c r="F76" s="14" t="s">
        <v>11</v>
      </c>
      <c r="G76" s="14" t="s">
        <v>11</v>
      </c>
      <c r="H76" s="14" t="s">
        <v>13</v>
      </c>
      <c r="I76" s="14" t="s">
        <v>237</v>
      </c>
      <c r="J76" s="14" t="s">
        <v>99</v>
      </c>
      <c r="K76" s="14"/>
      <c r="L76" s="61" t="s">
        <v>135</v>
      </c>
      <c r="M76" s="61" t="s">
        <v>135</v>
      </c>
      <c r="N76" s="14" t="s">
        <v>36</v>
      </c>
      <c r="O76" s="14" t="s">
        <v>32</v>
      </c>
      <c r="P76" s="14" t="s">
        <v>125</v>
      </c>
      <c r="Q76" s="14" t="s">
        <v>125</v>
      </c>
      <c r="R76" s="14" t="s">
        <v>125</v>
      </c>
      <c r="S76" s="14" t="s">
        <v>125</v>
      </c>
      <c r="T76" s="14" t="s">
        <v>148</v>
      </c>
      <c r="U76" s="14"/>
      <c r="V76" s="14"/>
    </row>
    <row r="77" spans="2:26" x14ac:dyDescent="0.2">
      <c r="B77" s="11">
        <v>1</v>
      </c>
      <c r="C77" s="56" t="s">
        <v>229</v>
      </c>
      <c r="D77" s="57" t="s">
        <v>187</v>
      </c>
      <c r="E77" s="57" t="s">
        <v>234</v>
      </c>
      <c r="F77" s="17">
        <v>1.25</v>
      </c>
      <c r="G77" s="17">
        <v>1.45</v>
      </c>
      <c r="H77" s="17">
        <f>(30+35)/2</f>
        <v>32.5</v>
      </c>
      <c r="I77" s="57">
        <f>(75+90)/2</f>
        <v>82.5</v>
      </c>
      <c r="J77" s="94">
        <v>0.2</v>
      </c>
      <c r="K77" s="96">
        <v>20000</v>
      </c>
      <c r="L77" s="100">
        <v>0</v>
      </c>
      <c r="M77" s="100">
        <v>20</v>
      </c>
      <c r="N77" s="99" t="s">
        <v>245</v>
      </c>
      <c r="O77" s="17"/>
      <c r="P77" s="17"/>
      <c r="Q77" s="17"/>
      <c r="R77" s="17"/>
      <c r="S77" s="17"/>
      <c r="T77" s="17"/>
      <c r="U77" s="17"/>
      <c r="V77" s="17"/>
    </row>
    <row r="78" spans="2:26" x14ac:dyDescent="0.2">
      <c r="B78" s="11">
        <v>2</v>
      </c>
      <c r="C78" s="56" t="s">
        <v>230</v>
      </c>
      <c r="D78" s="57" t="s">
        <v>187</v>
      </c>
      <c r="E78" s="57" t="s">
        <v>234</v>
      </c>
      <c r="F78" s="17">
        <v>1.25</v>
      </c>
      <c r="G78" s="17">
        <v>1.48</v>
      </c>
      <c r="H78" s="17">
        <f>(20+25)/2</f>
        <v>22.5</v>
      </c>
      <c r="I78" s="17">
        <f>(65+75)/2</f>
        <v>70</v>
      </c>
      <c r="J78" s="95">
        <v>0.25</v>
      </c>
      <c r="K78" s="97">
        <v>30000</v>
      </c>
      <c r="L78" s="100">
        <v>0</v>
      </c>
      <c r="M78" s="100">
        <v>20</v>
      </c>
      <c r="N78" s="99" t="s">
        <v>245</v>
      </c>
      <c r="O78" s="17"/>
      <c r="P78" s="17"/>
      <c r="Q78" s="17"/>
      <c r="R78" s="17"/>
      <c r="S78" s="17"/>
      <c r="T78" s="17"/>
      <c r="U78" s="17"/>
      <c r="V78" s="17"/>
    </row>
    <row r="79" spans="2:26" x14ac:dyDescent="0.2">
      <c r="B79" s="11">
        <v>3</v>
      </c>
      <c r="C79" s="56" t="s">
        <v>231</v>
      </c>
      <c r="D79" s="57" t="s">
        <v>187</v>
      </c>
      <c r="E79" s="57" t="s">
        <v>231</v>
      </c>
      <c r="F79" s="17">
        <v>1.25</v>
      </c>
      <c r="G79" s="17">
        <v>1.56</v>
      </c>
      <c r="H79" s="17">
        <f>(40+65)/2</f>
        <v>52.5</v>
      </c>
      <c r="I79" s="17">
        <f>(30+101)/2</f>
        <v>65.5</v>
      </c>
      <c r="J79" s="95">
        <v>0.35</v>
      </c>
      <c r="K79" s="97">
        <v>40000</v>
      </c>
      <c r="L79" s="101">
        <v>-10</v>
      </c>
      <c r="M79" s="101">
        <v>30</v>
      </c>
      <c r="N79" s="99" t="s">
        <v>245</v>
      </c>
      <c r="O79" s="17"/>
      <c r="P79" s="17"/>
      <c r="Q79" s="17"/>
      <c r="R79" s="17"/>
      <c r="S79" s="17"/>
      <c r="T79" s="17"/>
      <c r="U79" s="17"/>
      <c r="V79" s="17"/>
    </row>
    <row r="80" spans="2:26" x14ac:dyDescent="0.2">
      <c r="B80" s="11">
        <v>4</v>
      </c>
      <c r="C80" s="56" t="s">
        <v>232</v>
      </c>
      <c r="D80" s="57" t="s">
        <v>187</v>
      </c>
      <c r="E80" s="57" t="s">
        <v>235</v>
      </c>
      <c r="F80" s="17">
        <v>3.75</v>
      </c>
      <c r="G80" s="17">
        <v>4.2</v>
      </c>
      <c r="H80" s="17">
        <v>135</v>
      </c>
      <c r="I80" s="17">
        <f>(160+380)/2</f>
        <v>270</v>
      </c>
      <c r="J80" s="95">
        <v>0.2</v>
      </c>
      <c r="K80" s="97">
        <v>20000</v>
      </c>
      <c r="L80" s="101">
        <v>-10</v>
      </c>
      <c r="M80" s="101">
        <v>40</v>
      </c>
      <c r="N80" s="99" t="s">
        <v>245</v>
      </c>
      <c r="O80" s="17"/>
      <c r="P80" s="17"/>
      <c r="Q80" s="17"/>
      <c r="R80" s="17"/>
      <c r="S80" s="17"/>
      <c r="T80" s="17"/>
      <c r="U80" s="17"/>
      <c r="V80" s="17"/>
    </row>
    <row r="81" spans="2:22" x14ac:dyDescent="0.2">
      <c r="B81" s="11">
        <v>5</v>
      </c>
      <c r="C81" s="11" t="s">
        <v>149</v>
      </c>
      <c r="D81" s="17" t="s">
        <v>150</v>
      </c>
      <c r="E81" s="57" t="s">
        <v>235</v>
      </c>
      <c r="F81" s="17">
        <v>3.6</v>
      </c>
      <c r="G81" s="17">
        <v>4.2</v>
      </c>
      <c r="H81" s="91">
        <f>O81/T81</f>
        <v>133.33333333333334</v>
      </c>
      <c r="I81" s="91">
        <f t="shared" ref="I81:I96" si="5">O81/(R81*S81*P81)*100^3</f>
        <v>256.41025641025641</v>
      </c>
      <c r="J81" s="91"/>
      <c r="K81" s="91"/>
      <c r="L81" s="99" t="s">
        <v>245</v>
      </c>
      <c r="M81" s="99" t="s">
        <v>245</v>
      </c>
      <c r="N81" s="17">
        <v>1.5</v>
      </c>
      <c r="O81" s="17">
        <f>N81*F81</f>
        <v>5.4</v>
      </c>
      <c r="P81" s="92">
        <v>65</v>
      </c>
      <c r="Q81" s="93">
        <v>18</v>
      </c>
      <c r="R81" s="92">
        <f t="shared" ref="R81:S86" si="6">Q81</f>
        <v>18</v>
      </c>
      <c r="S81" s="92">
        <f t="shared" si="6"/>
        <v>18</v>
      </c>
      <c r="T81" s="17">
        <f>40.5/1000</f>
        <v>4.0500000000000001E-2</v>
      </c>
      <c r="U81" s="17" t="s">
        <v>151</v>
      </c>
      <c r="V81" s="17" t="s">
        <v>152</v>
      </c>
    </row>
    <row r="82" spans="2:22" x14ac:dyDescent="0.2">
      <c r="B82" s="11">
        <v>6</v>
      </c>
      <c r="C82" s="11" t="s">
        <v>153</v>
      </c>
      <c r="D82" s="17" t="s">
        <v>150</v>
      </c>
      <c r="E82" s="57" t="s">
        <v>235</v>
      </c>
      <c r="F82" s="17">
        <v>3.7</v>
      </c>
      <c r="G82" s="17">
        <v>4.0999999999999996</v>
      </c>
      <c r="H82" s="91">
        <f>O82/T82</f>
        <v>100.49382716049384</v>
      </c>
      <c r="I82" s="91">
        <f t="shared" si="5"/>
        <v>193.25735992402659</v>
      </c>
      <c r="J82" s="91"/>
      <c r="K82" s="91"/>
      <c r="L82" s="99" t="s">
        <v>245</v>
      </c>
      <c r="M82" s="99" t="s">
        <v>245</v>
      </c>
      <c r="N82" s="17">
        <v>1.1000000000000001</v>
      </c>
      <c r="O82" s="17">
        <f>N82*F82</f>
        <v>4.07</v>
      </c>
      <c r="P82" s="92">
        <v>65</v>
      </c>
      <c r="Q82" s="93">
        <v>18</v>
      </c>
      <c r="R82" s="92">
        <f t="shared" si="6"/>
        <v>18</v>
      </c>
      <c r="S82" s="92">
        <f t="shared" si="6"/>
        <v>18</v>
      </c>
      <c r="T82" s="17">
        <f>40.5/1000</f>
        <v>4.0500000000000001E-2</v>
      </c>
      <c r="U82" s="17" t="s">
        <v>154</v>
      </c>
      <c r="V82" s="17" t="s">
        <v>155</v>
      </c>
    </row>
    <row r="83" spans="2:22" x14ac:dyDescent="0.2">
      <c r="B83" s="11">
        <v>7</v>
      </c>
      <c r="C83" s="11" t="s">
        <v>156</v>
      </c>
      <c r="D83" s="17" t="s">
        <v>150</v>
      </c>
      <c r="E83" s="57" t="s">
        <v>235</v>
      </c>
      <c r="F83" s="17">
        <v>3.6</v>
      </c>
      <c r="G83" s="17">
        <v>4.2</v>
      </c>
      <c r="H83" s="17">
        <f>O83/T83</f>
        <v>180.00000000000003</v>
      </c>
      <c r="I83" s="91">
        <f t="shared" si="5"/>
        <v>367.52136752136755</v>
      </c>
      <c r="J83" s="91"/>
      <c r="K83" s="91"/>
      <c r="L83" s="99" t="s">
        <v>245</v>
      </c>
      <c r="M83" s="99" t="s">
        <v>245</v>
      </c>
      <c r="N83" s="17">
        <v>2.15</v>
      </c>
      <c r="O83" s="17">
        <f>N83*F83</f>
        <v>7.74</v>
      </c>
      <c r="P83" s="92">
        <v>65</v>
      </c>
      <c r="Q83" s="93">
        <v>18</v>
      </c>
      <c r="R83" s="92">
        <f t="shared" si="6"/>
        <v>18</v>
      </c>
      <c r="S83" s="92">
        <f t="shared" si="6"/>
        <v>18</v>
      </c>
      <c r="T83" s="17">
        <f>43/1000</f>
        <v>4.2999999999999997E-2</v>
      </c>
      <c r="U83" s="17" t="s">
        <v>155</v>
      </c>
      <c r="V83" s="17" t="s">
        <v>155</v>
      </c>
    </row>
    <row r="84" spans="2:22" x14ac:dyDescent="0.2">
      <c r="B84" s="11">
        <v>8</v>
      </c>
      <c r="C84" s="11" t="s">
        <v>157</v>
      </c>
      <c r="D84" s="17" t="s">
        <v>158</v>
      </c>
      <c r="E84" s="57" t="s">
        <v>235</v>
      </c>
      <c r="F84" s="17">
        <v>3.6</v>
      </c>
      <c r="G84" s="17">
        <v>4.0999999999999996</v>
      </c>
      <c r="H84" s="17">
        <v>118</v>
      </c>
      <c r="I84" s="91">
        <f t="shared" si="5"/>
        <v>185.37055574092611</v>
      </c>
      <c r="J84" s="91"/>
      <c r="K84" s="91"/>
      <c r="L84" s="99" t="s">
        <v>245</v>
      </c>
      <c r="M84" s="99" t="s">
        <v>245</v>
      </c>
      <c r="N84" s="17">
        <v>28</v>
      </c>
      <c r="O84" s="17">
        <v>100</v>
      </c>
      <c r="P84" s="92">
        <v>185</v>
      </c>
      <c r="Q84" s="93">
        <v>54</v>
      </c>
      <c r="R84" s="92">
        <f t="shared" si="6"/>
        <v>54</v>
      </c>
      <c r="S84" s="92">
        <f t="shared" si="6"/>
        <v>54</v>
      </c>
      <c r="T84" s="17">
        <v>0.81</v>
      </c>
      <c r="U84" s="17" t="s">
        <v>151</v>
      </c>
      <c r="V84" s="17" t="s">
        <v>159</v>
      </c>
    </row>
    <row r="85" spans="2:22" x14ac:dyDescent="0.2">
      <c r="B85" s="11">
        <v>9</v>
      </c>
      <c r="C85" s="11" t="s">
        <v>160</v>
      </c>
      <c r="D85" s="17" t="s">
        <v>158</v>
      </c>
      <c r="E85" s="57" t="s">
        <v>235</v>
      </c>
      <c r="F85" s="17">
        <v>3.6</v>
      </c>
      <c r="G85" s="17">
        <v>4.0999999999999996</v>
      </c>
      <c r="H85" s="17">
        <v>126</v>
      </c>
      <c r="I85" s="91">
        <f t="shared" si="5"/>
        <v>192.04389574759944</v>
      </c>
      <c r="J85" s="91"/>
      <c r="K85" s="91"/>
      <c r="L85" s="99" t="s">
        <v>245</v>
      </c>
      <c r="M85" s="99" t="s">
        <v>245</v>
      </c>
      <c r="N85" s="17">
        <v>39</v>
      </c>
      <c r="O85" s="17">
        <v>140</v>
      </c>
      <c r="P85" s="92">
        <v>250</v>
      </c>
      <c r="Q85" s="93">
        <v>54</v>
      </c>
      <c r="R85" s="92">
        <f t="shared" si="6"/>
        <v>54</v>
      </c>
      <c r="S85" s="92">
        <f t="shared" si="6"/>
        <v>54</v>
      </c>
      <c r="T85" s="17">
        <v>1.1299999999999999</v>
      </c>
      <c r="U85" s="17" t="s">
        <v>151</v>
      </c>
      <c r="V85" s="17" t="s">
        <v>161</v>
      </c>
    </row>
    <row r="86" spans="2:22" x14ac:dyDescent="0.2">
      <c r="B86" s="11">
        <v>10</v>
      </c>
      <c r="C86" s="11" t="s">
        <v>162</v>
      </c>
      <c r="D86" s="17" t="s">
        <v>158</v>
      </c>
      <c r="E86" s="57" t="s">
        <v>235</v>
      </c>
      <c r="F86" s="17">
        <v>3.6</v>
      </c>
      <c r="G86" s="17">
        <v>4.0999999999999996</v>
      </c>
      <c r="H86" s="17">
        <v>165</v>
      </c>
      <c r="I86" s="91">
        <f t="shared" si="5"/>
        <v>256.31897472410111</v>
      </c>
      <c r="J86" s="91"/>
      <c r="K86" s="91"/>
      <c r="L86" s="99" t="s">
        <v>245</v>
      </c>
      <c r="M86" s="99" t="s">
        <v>245</v>
      </c>
      <c r="N86" s="17">
        <v>50</v>
      </c>
      <c r="O86" s="17">
        <v>180</v>
      </c>
      <c r="P86" s="92">
        <v>250</v>
      </c>
      <c r="Q86" s="93">
        <v>53</v>
      </c>
      <c r="R86" s="92">
        <f t="shared" si="6"/>
        <v>53</v>
      </c>
      <c r="S86" s="92">
        <f t="shared" si="6"/>
        <v>53</v>
      </c>
      <c r="T86" s="17">
        <v>1.1100000000000001</v>
      </c>
      <c r="U86" s="17" t="s">
        <v>151</v>
      </c>
      <c r="V86" s="17" t="s">
        <v>163</v>
      </c>
    </row>
    <row r="87" spans="2:22" x14ac:dyDescent="0.2">
      <c r="B87" s="11">
        <v>11</v>
      </c>
      <c r="C87" s="11" t="s">
        <v>164</v>
      </c>
      <c r="D87" s="17" t="s">
        <v>158</v>
      </c>
      <c r="E87" s="57" t="s">
        <v>235</v>
      </c>
      <c r="F87" s="17">
        <v>3.6</v>
      </c>
      <c r="G87" s="17">
        <v>4.0999999999999996</v>
      </c>
      <c r="H87" s="17">
        <v>133</v>
      </c>
      <c r="I87" s="91">
        <f t="shared" si="5"/>
        <v>262.98487836949374</v>
      </c>
      <c r="J87" s="91"/>
      <c r="K87" s="91"/>
      <c r="L87" s="99" t="s">
        <v>245</v>
      </c>
      <c r="M87" s="99" t="s">
        <v>245</v>
      </c>
      <c r="N87" s="17">
        <v>5.8</v>
      </c>
      <c r="O87" s="17">
        <v>20</v>
      </c>
      <c r="P87" s="92">
        <v>65</v>
      </c>
      <c r="Q87" s="93">
        <f>SQRT(R87^2+S87^2)</f>
        <v>67.446274915668994</v>
      </c>
      <c r="R87" s="92">
        <v>18</v>
      </c>
      <c r="S87" s="92">
        <v>65</v>
      </c>
      <c r="T87" s="17">
        <v>0.15</v>
      </c>
      <c r="U87" s="17" t="s">
        <v>151</v>
      </c>
      <c r="V87" s="17" t="s">
        <v>159</v>
      </c>
    </row>
    <row r="88" spans="2:22" x14ac:dyDescent="0.2">
      <c r="B88" s="11">
        <v>12</v>
      </c>
      <c r="C88" s="11" t="s">
        <v>165</v>
      </c>
      <c r="D88" s="17" t="s">
        <v>158</v>
      </c>
      <c r="E88" s="57" t="s">
        <v>235</v>
      </c>
      <c r="F88" s="17">
        <v>3.6</v>
      </c>
      <c r="G88" s="17">
        <v>4.0999999999999996</v>
      </c>
      <c r="H88" s="17">
        <v>118</v>
      </c>
      <c r="I88" s="91">
        <f t="shared" si="5"/>
        <v>117.52620399066755</v>
      </c>
      <c r="J88" s="91"/>
      <c r="K88" s="91"/>
      <c r="L88" s="99" t="s">
        <v>245</v>
      </c>
      <c r="M88" s="99" t="s">
        <v>245</v>
      </c>
      <c r="N88" s="17">
        <v>7.5</v>
      </c>
      <c r="O88" s="17">
        <f>N88*F88</f>
        <v>27</v>
      </c>
      <c r="P88" s="92">
        <v>104</v>
      </c>
      <c r="Q88" s="93">
        <v>47</v>
      </c>
      <c r="R88" s="92">
        <f t="shared" ref="R88:S90" si="7">Q88</f>
        <v>47</v>
      </c>
      <c r="S88" s="92">
        <f t="shared" si="7"/>
        <v>47</v>
      </c>
      <c r="T88" s="17">
        <v>0.38</v>
      </c>
      <c r="U88" s="17" t="s">
        <v>151</v>
      </c>
      <c r="V88" s="17" t="s">
        <v>166</v>
      </c>
    </row>
    <row r="89" spans="2:22" x14ac:dyDescent="0.2">
      <c r="B89" s="11">
        <v>13</v>
      </c>
      <c r="C89" s="11" t="s">
        <v>167</v>
      </c>
      <c r="D89" s="17" t="s">
        <v>158</v>
      </c>
      <c r="E89" s="57" t="s">
        <v>235</v>
      </c>
      <c r="F89" s="17">
        <v>3.6</v>
      </c>
      <c r="G89" s="17">
        <v>4.0999999999999996</v>
      </c>
      <c r="H89" s="17">
        <v>150</v>
      </c>
      <c r="I89" s="91">
        <f t="shared" si="5"/>
        <v>233.19615912208505</v>
      </c>
      <c r="J89" s="91"/>
      <c r="K89" s="91"/>
      <c r="L89" s="99" t="s">
        <v>245</v>
      </c>
      <c r="M89" s="99" t="s">
        <v>245</v>
      </c>
      <c r="N89" s="17">
        <v>48</v>
      </c>
      <c r="O89" s="17">
        <v>170</v>
      </c>
      <c r="P89" s="92">
        <v>250</v>
      </c>
      <c r="Q89" s="93">
        <v>54</v>
      </c>
      <c r="R89" s="92">
        <f t="shared" si="7"/>
        <v>54</v>
      </c>
      <c r="S89" s="92">
        <f t="shared" si="7"/>
        <v>54</v>
      </c>
      <c r="T89" s="17">
        <v>1.1599999999999999</v>
      </c>
      <c r="U89" s="17" t="s">
        <v>151</v>
      </c>
      <c r="V89" s="17" t="s">
        <v>152</v>
      </c>
    </row>
    <row r="90" spans="2:22" x14ac:dyDescent="0.2">
      <c r="B90" s="11">
        <v>14</v>
      </c>
      <c r="C90" s="11" t="s">
        <v>168</v>
      </c>
      <c r="D90" s="17" t="s">
        <v>158</v>
      </c>
      <c r="E90" s="57" t="s">
        <v>235</v>
      </c>
      <c r="F90" s="17">
        <v>3.6</v>
      </c>
      <c r="G90" s="17">
        <v>4.0999999999999996</v>
      </c>
      <c r="H90" s="17">
        <v>139</v>
      </c>
      <c r="I90" s="91">
        <f t="shared" si="5"/>
        <v>244.27520696216916</v>
      </c>
      <c r="J90" s="91"/>
      <c r="K90" s="91"/>
      <c r="L90" s="99" t="s">
        <v>245</v>
      </c>
      <c r="M90" s="99" t="s">
        <v>245</v>
      </c>
      <c r="N90" s="17">
        <v>10</v>
      </c>
      <c r="O90" s="17">
        <v>36</v>
      </c>
      <c r="P90" s="92">
        <v>129</v>
      </c>
      <c r="Q90" s="93">
        <v>33.799999999999997</v>
      </c>
      <c r="R90" s="92">
        <f t="shared" si="7"/>
        <v>33.799999999999997</v>
      </c>
      <c r="S90" s="92">
        <f t="shared" si="7"/>
        <v>33.799999999999997</v>
      </c>
      <c r="T90" s="17">
        <v>0.25</v>
      </c>
      <c r="U90" s="17" t="s">
        <v>151</v>
      </c>
      <c r="V90" s="17" t="s">
        <v>152</v>
      </c>
    </row>
    <row r="91" spans="2:22" x14ac:dyDescent="0.2">
      <c r="B91" s="11">
        <v>15</v>
      </c>
      <c r="C91" s="11" t="s">
        <v>169</v>
      </c>
      <c r="D91" s="17" t="s">
        <v>170</v>
      </c>
      <c r="E91" s="57" t="s">
        <v>235</v>
      </c>
      <c r="F91" s="17">
        <v>3.6</v>
      </c>
      <c r="G91" s="17">
        <v>4.0999999999999996</v>
      </c>
      <c r="H91" s="17">
        <v>121</v>
      </c>
      <c r="I91" s="91">
        <f t="shared" si="5"/>
        <v>255.81505518972952</v>
      </c>
      <c r="J91" s="91"/>
      <c r="K91" s="91"/>
      <c r="L91" s="99" t="s">
        <v>245</v>
      </c>
      <c r="M91" s="99" t="s">
        <v>245</v>
      </c>
      <c r="N91" s="17">
        <v>15</v>
      </c>
      <c r="O91" s="17">
        <f t="shared" ref="O91:O96" si="8">N91*F91</f>
        <v>54</v>
      </c>
      <c r="P91" s="92">
        <v>101</v>
      </c>
      <c r="Q91" s="93">
        <f t="shared" ref="Q91:Q96" si="9">SQRT(R91^2+S91^2)</f>
        <v>66.850579653433073</v>
      </c>
      <c r="R91" s="92">
        <v>38</v>
      </c>
      <c r="S91" s="92">
        <v>55</v>
      </c>
      <c r="T91" s="17">
        <v>0.44500000000000001</v>
      </c>
      <c r="U91" s="17" t="s">
        <v>151</v>
      </c>
      <c r="V91" s="17" t="s">
        <v>159</v>
      </c>
    </row>
    <row r="92" spans="2:22" x14ac:dyDescent="0.2">
      <c r="B92" s="11">
        <v>16</v>
      </c>
      <c r="C92" s="11" t="s">
        <v>171</v>
      </c>
      <c r="D92" s="17" t="s">
        <v>170</v>
      </c>
      <c r="E92" s="57" t="s">
        <v>235</v>
      </c>
      <c r="F92" s="17">
        <v>3.6</v>
      </c>
      <c r="G92" s="17">
        <v>4.0999999999999996</v>
      </c>
      <c r="H92" s="17">
        <v>140</v>
      </c>
      <c r="I92" s="91">
        <f t="shared" si="5"/>
        <v>341.88426137398216</v>
      </c>
      <c r="J92" s="91"/>
      <c r="K92" s="91"/>
      <c r="L92" s="99" t="s">
        <v>245</v>
      </c>
      <c r="M92" s="99" t="s">
        <v>245</v>
      </c>
      <c r="N92" s="17">
        <v>75</v>
      </c>
      <c r="O92" s="17">
        <f t="shared" si="8"/>
        <v>270</v>
      </c>
      <c r="P92" s="92">
        <v>173.7</v>
      </c>
      <c r="Q92" s="93">
        <f t="shared" si="9"/>
        <v>98.505076011340662</v>
      </c>
      <c r="R92" s="92">
        <v>56.2</v>
      </c>
      <c r="S92" s="92">
        <v>80.900000000000006</v>
      </c>
      <c r="T92" s="17">
        <v>1.82</v>
      </c>
      <c r="U92" s="17" t="s">
        <v>172</v>
      </c>
      <c r="V92" s="17" t="s">
        <v>159</v>
      </c>
    </row>
    <row r="93" spans="2:22" x14ac:dyDescent="0.2">
      <c r="B93" s="11">
        <v>17</v>
      </c>
      <c r="C93" s="11" t="s">
        <v>173</v>
      </c>
      <c r="D93" s="17" t="s">
        <v>174</v>
      </c>
      <c r="E93" s="57" t="s">
        <v>235</v>
      </c>
      <c r="F93" s="17">
        <v>3.6</v>
      </c>
      <c r="G93" s="17">
        <v>4.0999999999999996</v>
      </c>
      <c r="H93" s="17">
        <v>127</v>
      </c>
      <c r="I93" s="91">
        <f t="shared" si="5"/>
        <v>245.25070071628775</v>
      </c>
      <c r="J93" s="91"/>
      <c r="K93" s="91"/>
      <c r="L93" s="99" t="s">
        <v>245</v>
      </c>
      <c r="M93" s="99" t="s">
        <v>245</v>
      </c>
      <c r="N93" s="17">
        <v>7</v>
      </c>
      <c r="O93" s="17">
        <f t="shared" si="8"/>
        <v>25.2</v>
      </c>
      <c r="P93" s="92">
        <v>76</v>
      </c>
      <c r="Q93" s="93">
        <f t="shared" si="9"/>
        <v>58.137767414994535</v>
      </c>
      <c r="R93" s="92">
        <v>26</v>
      </c>
      <c r="S93" s="92">
        <v>52</v>
      </c>
      <c r="T93" s="17">
        <v>0.23400000000000001</v>
      </c>
      <c r="U93" s="17" t="s">
        <v>175</v>
      </c>
      <c r="V93" s="17" t="s">
        <v>161</v>
      </c>
    </row>
    <row r="94" spans="2:22" x14ac:dyDescent="0.2">
      <c r="B94" s="11">
        <v>18</v>
      </c>
      <c r="C94" s="11" t="s">
        <v>176</v>
      </c>
      <c r="D94" s="17" t="s">
        <v>174</v>
      </c>
      <c r="E94" s="57" t="s">
        <v>235</v>
      </c>
      <c r="F94" s="17">
        <v>3.6</v>
      </c>
      <c r="G94" s="17">
        <v>4.0999999999999996</v>
      </c>
      <c r="H94" s="17">
        <v>130</v>
      </c>
      <c r="I94" s="91">
        <f t="shared" si="5"/>
        <v>288.46153846153851</v>
      </c>
      <c r="J94" s="91"/>
      <c r="K94" s="91"/>
      <c r="L94" s="99" t="s">
        <v>245</v>
      </c>
      <c r="M94" s="99" t="s">
        <v>245</v>
      </c>
      <c r="N94" s="17">
        <v>10</v>
      </c>
      <c r="O94" s="17">
        <f t="shared" si="8"/>
        <v>36</v>
      </c>
      <c r="P94" s="92">
        <v>64</v>
      </c>
      <c r="Q94" s="93">
        <f t="shared" si="9"/>
        <v>81.908485518900903</v>
      </c>
      <c r="R94" s="92">
        <v>25</v>
      </c>
      <c r="S94" s="92">
        <v>78</v>
      </c>
      <c r="T94" s="17">
        <v>0.30499999999999999</v>
      </c>
      <c r="U94" s="17" t="s">
        <v>155</v>
      </c>
      <c r="V94" s="17" t="s">
        <v>161</v>
      </c>
    </row>
    <row r="95" spans="2:22" x14ac:dyDescent="0.2">
      <c r="B95" s="11">
        <v>19</v>
      </c>
      <c r="C95" s="11" t="s">
        <v>177</v>
      </c>
      <c r="D95" s="17" t="s">
        <v>174</v>
      </c>
      <c r="E95" s="57" t="s">
        <v>235</v>
      </c>
      <c r="F95" s="17">
        <v>3.6</v>
      </c>
      <c r="G95" s="17">
        <v>4.0999999999999996</v>
      </c>
      <c r="H95" s="17">
        <v>125</v>
      </c>
      <c r="I95" s="91">
        <f t="shared" si="5"/>
        <v>238.60811930405967</v>
      </c>
      <c r="J95" s="91"/>
      <c r="K95" s="91"/>
      <c r="L95" s="99" t="s">
        <v>245</v>
      </c>
      <c r="M95" s="99" t="s">
        <v>245</v>
      </c>
      <c r="N95" s="17">
        <v>12</v>
      </c>
      <c r="O95" s="17">
        <f t="shared" si="8"/>
        <v>43.2</v>
      </c>
      <c r="P95" s="92">
        <v>102</v>
      </c>
      <c r="Q95" s="93">
        <f t="shared" si="9"/>
        <v>75.272837066235255</v>
      </c>
      <c r="R95" s="92">
        <v>25</v>
      </c>
      <c r="S95" s="92">
        <v>71</v>
      </c>
      <c r="T95" s="17">
        <v>0.42</v>
      </c>
      <c r="U95" s="17" t="s">
        <v>155</v>
      </c>
      <c r="V95" s="17" t="s">
        <v>161</v>
      </c>
    </row>
    <row r="96" spans="2:22" ht="13.5" thickBot="1" x14ac:dyDescent="0.25">
      <c r="B96" s="11">
        <v>20</v>
      </c>
      <c r="C96" s="11" t="s">
        <v>178</v>
      </c>
      <c r="D96" s="17" t="s">
        <v>174</v>
      </c>
      <c r="E96" s="57" t="s">
        <v>235</v>
      </c>
      <c r="F96" s="17">
        <v>3.6</v>
      </c>
      <c r="G96" s="17">
        <v>4.0999999999999996</v>
      </c>
      <c r="H96" s="17">
        <v>145</v>
      </c>
      <c r="I96" s="91">
        <f t="shared" si="5"/>
        <v>267.11515631183221</v>
      </c>
      <c r="J96" s="91"/>
      <c r="K96" s="91"/>
      <c r="L96" s="99" t="s">
        <v>245</v>
      </c>
      <c r="M96" s="99" t="s">
        <v>245</v>
      </c>
      <c r="N96" s="17">
        <v>30</v>
      </c>
      <c r="O96" s="17">
        <f t="shared" si="8"/>
        <v>108</v>
      </c>
      <c r="P96" s="92">
        <v>152</v>
      </c>
      <c r="Q96" s="93">
        <f t="shared" si="9"/>
        <v>99.040395798886024</v>
      </c>
      <c r="R96" s="92">
        <v>28</v>
      </c>
      <c r="S96" s="92">
        <v>95</v>
      </c>
      <c r="T96" s="17">
        <v>0.89</v>
      </c>
      <c r="U96" s="17" t="s">
        <v>155</v>
      </c>
      <c r="V96" s="17" t="s">
        <v>161</v>
      </c>
    </row>
    <row r="97" spans="2:22" x14ac:dyDescent="0.2">
      <c r="B97" s="14"/>
      <c r="C97" s="79" t="s">
        <v>208</v>
      </c>
      <c r="D97" s="14">
        <v>3</v>
      </c>
      <c r="E97" s="14">
        <v>4</v>
      </c>
      <c r="F97" s="14">
        <v>5</v>
      </c>
      <c r="G97" s="14">
        <v>6</v>
      </c>
      <c r="H97" s="14">
        <v>7</v>
      </c>
      <c r="I97" s="14">
        <v>8</v>
      </c>
      <c r="J97" s="14">
        <v>9</v>
      </c>
      <c r="K97" s="14">
        <v>10</v>
      </c>
      <c r="L97" s="14">
        <v>11</v>
      </c>
      <c r="M97" s="14">
        <v>12</v>
      </c>
      <c r="N97" s="14">
        <v>13</v>
      </c>
      <c r="O97" s="14">
        <v>14</v>
      </c>
      <c r="P97" s="14">
        <v>15</v>
      </c>
      <c r="Q97" s="14">
        <v>16</v>
      </c>
      <c r="R97" s="14">
        <v>17</v>
      </c>
      <c r="S97" s="14">
        <v>18</v>
      </c>
      <c r="T97" s="14">
        <v>19</v>
      </c>
      <c r="U97" s="14">
        <v>20</v>
      </c>
      <c r="V97" s="14">
        <v>21</v>
      </c>
    </row>
    <row r="99" spans="2:22" x14ac:dyDescent="0.2">
      <c r="C99"/>
      <c r="D99"/>
    </row>
    <row r="100" spans="2:22" x14ac:dyDescent="0.2">
      <c r="C100"/>
      <c r="D100"/>
    </row>
    <row r="101" spans="2:22" x14ac:dyDescent="0.2">
      <c r="C101"/>
      <c r="D101"/>
    </row>
    <row r="102" spans="2:22" x14ac:dyDescent="0.2">
      <c r="C102"/>
      <c r="D102"/>
    </row>
    <row r="103" spans="2:22" x14ac:dyDescent="0.2">
      <c r="C103"/>
      <c r="D103"/>
    </row>
    <row r="104" spans="2:22" x14ac:dyDescent="0.2">
      <c r="C104"/>
      <c r="D104"/>
    </row>
    <row r="105" spans="2:22" x14ac:dyDescent="0.2">
      <c r="C105"/>
      <c r="D105"/>
    </row>
    <row r="106" spans="2:22" x14ac:dyDescent="0.2">
      <c r="C106"/>
      <c r="D106"/>
    </row>
    <row r="107" spans="2:22" x14ac:dyDescent="0.2">
      <c r="C107"/>
      <c r="D107"/>
    </row>
    <row r="108" spans="2:22" x14ac:dyDescent="0.2">
      <c r="C108"/>
      <c r="D108"/>
    </row>
  </sheetData>
  <mergeCells count="4">
    <mergeCell ref="U51:W51"/>
    <mergeCell ref="M49:O49"/>
    <mergeCell ref="P49:T49"/>
    <mergeCell ref="X49:Z49"/>
  </mergeCell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15" r:id="rId4" name="Drop Down 19">
              <controlPr defaultSize="0" autoLine="0" autoPict="0">
                <anchor moveWithCells="1">
                  <from>
                    <xdr:col>6</xdr:col>
                    <xdr:colOff>1028700</xdr:colOff>
                    <xdr:row>11</xdr:row>
                    <xdr:rowOff>0</xdr:rowOff>
                  </from>
                  <to>
                    <xdr:col>7</xdr:col>
                    <xdr:colOff>9525</xdr:colOff>
                    <xdr:row>11</xdr:row>
                    <xdr:rowOff>190500</xdr:rowOff>
                  </to>
                </anchor>
              </controlPr>
            </control>
          </mc:Choice>
        </mc:AlternateContent>
        <mc:AlternateContent xmlns:mc="http://schemas.openxmlformats.org/markup-compatibility/2006">
          <mc:Choice Requires="x14">
            <control shapeId="4116" r:id="rId5" name="Drop Down 20">
              <controlPr defaultSize="0" autoLine="0" autoPict="0">
                <anchor moveWithCells="1">
                  <from>
                    <xdr:col>11</xdr:col>
                    <xdr:colOff>762000</xdr:colOff>
                    <xdr:row>11</xdr:row>
                    <xdr:rowOff>0</xdr:rowOff>
                  </from>
                  <to>
                    <xdr:col>13</xdr:col>
                    <xdr:colOff>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Z111"/>
  <sheetViews>
    <sheetView tabSelected="1" topLeftCell="A4" zoomScale="115" zoomScaleNormal="115" workbookViewId="0">
      <selection activeCell="M45" sqref="M45"/>
    </sheetView>
  </sheetViews>
  <sheetFormatPr defaultRowHeight="12.75" x14ac:dyDescent="0.2"/>
  <cols>
    <col min="1" max="1" width="4.42578125" customWidth="1"/>
    <col min="2" max="2" width="23.28515625" customWidth="1"/>
    <col min="3" max="3" width="9.140625" style="1" customWidth="1"/>
    <col min="4" max="4" width="12.7109375" style="1" customWidth="1"/>
    <col min="6" max="6" width="11.7109375" customWidth="1"/>
    <col min="7" max="7" width="34" customWidth="1"/>
    <col min="8" max="8" width="11.85546875" customWidth="1"/>
    <col min="9" max="9" width="9.85546875" customWidth="1"/>
    <col min="10" max="10" width="9.28515625" customWidth="1"/>
    <col min="11" max="11" width="10" bestFit="1" customWidth="1"/>
    <col min="12" max="12" width="23" customWidth="1"/>
    <col min="14" max="14" width="10.5703125" bestFit="1" customWidth="1"/>
    <col min="16" max="16" width="9.7109375" customWidth="1"/>
  </cols>
  <sheetData>
    <row r="1" spans="2:22" ht="25.5" x14ac:dyDescent="0.35">
      <c r="B1" s="3" t="s">
        <v>47</v>
      </c>
    </row>
    <row r="2" spans="2:22" x14ac:dyDescent="0.2">
      <c r="D2" s="26"/>
      <c r="E2" s="26"/>
      <c r="G2" s="8"/>
      <c r="H2" s="9"/>
      <c r="I2" s="9"/>
      <c r="N2" s="8"/>
      <c r="O2" s="8"/>
      <c r="P2" s="8"/>
      <c r="Q2" s="8"/>
      <c r="R2" s="8"/>
      <c r="S2" s="8"/>
      <c r="T2" s="8"/>
      <c r="U2" s="8"/>
      <c r="V2" s="8"/>
    </row>
    <row r="3" spans="2:22" ht="21" thickBot="1" x14ac:dyDescent="0.35">
      <c r="B3" s="13" t="s">
        <v>102</v>
      </c>
      <c r="C3" s="45"/>
      <c r="D3" s="45"/>
      <c r="E3" s="45"/>
      <c r="F3" s="45"/>
      <c r="G3" s="13" t="s">
        <v>53</v>
      </c>
      <c r="H3" s="9"/>
      <c r="I3" s="9"/>
      <c r="N3" s="8"/>
      <c r="O3" s="8"/>
      <c r="P3" s="8"/>
      <c r="Q3" s="8"/>
    </row>
    <row r="4" spans="2:22" x14ac:dyDescent="0.2">
      <c r="B4" s="5" t="s">
        <v>4</v>
      </c>
      <c r="C4" s="6" t="s">
        <v>59</v>
      </c>
      <c r="D4" s="6" t="s">
        <v>60</v>
      </c>
      <c r="E4" s="7" t="s">
        <v>61</v>
      </c>
      <c r="F4" s="45"/>
      <c r="G4" s="12" t="s">
        <v>54</v>
      </c>
      <c r="H4" s="9"/>
      <c r="L4" s="5" t="s">
        <v>58</v>
      </c>
      <c r="M4" s="6" t="s">
        <v>59</v>
      </c>
      <c r="N4" s="6" t="s">
        <v>60</v>
      </c>
      <c r="O4" s="7" t="s">
        <v>61</v>
      </c>
      <c r="P4" s="8"/>
      <c r="Q4" s="8"/>
    </row>
    <row r="5" spans="2:22" ht="17.25" customHeight="1" thickBot="1" x14ac:dyDescent="0.25">
      <c r="B5" s="138" t="s">
        <v>0</v>
      </c>
      <c r="C5" s="128" t="s">
        <v>281</v>
      </c>
      <c r="D5" s="46">
        <v>1</v>
      </c>
      <c r="E5" s="53" t="s">
        <v>6</v>
      </c>
      <c r="F5" s="45"/>
      <c r="G5" s="10" t="s">
        <v>55</v>
      </c>
      <c r="H5" s="9"/>
      <c r="L5" s="18" t="s">
        <v>62</v>
      </c>
      <c r="M5" s="19" t="s">
        <v>5</v>
      </c>
      <c r="N5" s="20">
        <v>398600.5</v>
      </c>
      <c r="O5" s="21" t="s">
        <v>63</v>
      </c>
      <c r="P5" s="8"/>
      <c r="Q5" s="8"/>
    </row>
    <row r="6" spans="2:22" ht="15.75" x14ac:dyDescent="0.3">
      <c r="B6" s="138" t="s">
        <v>1</v>
      </c>
      <c r="C6" s="128" t="s">
        <v>280</v>
      </c>
      <c r="D6" s="46">
        <v>1</v>
      </c>
      <c r="E6" s="54" t="s">
        <v>101</v>
      </c>
      <c r="F6" s="45"/>
      <c r="G6" s="14" t="s">
        <v>56</v>
      </c>
      <c r="H6" s="9"/>
      <c r="L6" s="22" t="s">
        <v>64</v>
      </c>
      <c r="M6" s="23" t="s">
        <v>65</v>
      </c>
      <c r="N6" s="24">
        <v>6378</v>
      </c>
      <c r="O6" s="25" t="s">
        <v>52</v>
      </c>
      <c r="P6" s="8"/>
      <c r="Q6" s="8"/>
    </row>
    <row r="7" spans="2:22" ht="15.75" x14ac:dyDescent="0.3">
      <c r="B7" s="138" t="s">
        <v>44</v>
      </c>
      <c r="C7" s="128" t="s">
        <v>282</v>
      </c>
      <c r="D7" s="46">
        <v>5</v>
      </c>
      <c r="E7" s="53" t="s">
        <v>11</v>
      </c>
      <c r="F7" s="45"/>
      <c r="G7" s="15" t="s">
        <v>57</v>
      </c>
      <c r="H7" s="9"/>
      <c r="L7" s="22" t="s">
        <v>66</v>
      </c>
      <c r="M7" s="23" t="s">
        <v>67</v>
      </c>
      <c r="N7" s="108">
        <v>1.0822626683E-3</v>
      </c>
      <c r="O7" s="25" t="s">
        <v>68</v>
      </c>
      <c r="P7" s="8"/>
      <c r="Q7" s="8"/>
    </row>
    <row r="8" spans="2:22" ht="15.75" customHeight="1" thickBot="1" x14ac:dyDescent="0.25">
      <c r="B8" s="78" t="s">
        <v>20</v>
      </c>
      <c r="C8" s="142" t="s">
        <v>258</v>
      </c>
      <c r="D8" s="55">
        <v>55</v>
      </c>
      <c r="E8" s="49" t="s">
        <v>14</v>
      </c>
      <c r="F8" s="45"/>
      <c r="G8" s="16" t="s">
        <v>294</v>
      </c>
      <c r="H8" s="9"/>
      <c r="I8" s="9"/>
      <c r="L8" s="4" t="s">
        <v>224</v>
      </c>
      <c r="M8" s="109"/>
      <c r="N8" s="110">
        <v>1353</v>
      </c>
      <c r="O8" s="111" t="s">
        <v>225</v>
      </c>
      <c r="P8" s="8"/>
      <c r="Q8" s="8"/>
    </row>
    <row r="9" spans="2:22" x14ac:dyDescent="0.2">
      <c r="F9" s="45"/>
      <c r="G9" s="8"/>
      <c r="H9" s="9"/>
      <c r="I9" s="9"/>
      <c r="N9" s="8"/>
      <c r="O9" s="8"/>
      <c r="P9" s="8"/>
      <c r="Q9" s="8"/>
    </row>
    <row r="10" spans="2:22" ht="21" thickBot="1" x14ac:dyDescent="0.35">
      <c r="B10" s="13" t="s">
        <v>106</v>
      </c>
      <c r="F10" s="45"/>
      <c r="G10" s="13" t="s">
        <v>104</v>
      </c>
      <c r="J10" s="45"/>
      <c r="K10" s="45"/>
      <c r="L10" s="13" t="s">
        <v>248</v>
      </c>
      <c r="N10" s="8"/>
      <c r="O10" s="8"/>
      <c r="P10" s="8"/>
      <c r="Q10" s="8"/>
    </row>
    <row r="11" spans="2:22" x14ac:dyDescent="0.2">
      <c r="B11" s="5" t="s">
        <v>4</v>
      </c>
      <c r="C11" s="6" t="s">
        <v>59</v>
      </c>
      <c r="D11" s="6" t="s">
        <v>60</v>
      </c>
      <c r="E11" s="7" t="s">
        <v>61</v>
      </c>
      <c r="F11" s="45"/>
      <c r="G11" s="5" t="s">
        <v>4</v>
      </c>
      <c r="H11" s="6" t="s">
        <v>59</v>
      </c>
      <c r="I11" s="6" t="s">
        <v>60</v>
      </c>
      <c r="J11" s="7" t="s">
        <v>61</v>
      </c>
      <c r="K11" s="45"/>
      <c r="L11" s="5" t="s">
        <v>4</v>
      </c>
      <c r="M11" s="6" t="s">
        <v>59</v>
      </c>
      <c r="N11" s="6" t="s">
        <v>60</v>
      </c>
      <c r="O11" s="7" t="s">
        <v>61</v>
      </c>
      <c r="P11" s="8"/>
      <c r="Q11" s="8"/>
    </row>
    <row r="12" spans="2:22" ht="15.75" customHeight="1" x14ac:dyDescent="0.2">
      <c r="B12" s="143" t="s">
        <v>22</v>
      </c>
      <c r="C12" s="146" t="s">
        <v>287</v>
      </c>
      <c r="D12" s="48">
        <f>I46</f>
        <v>3.3684659999999997</v>
      </c>
      <c r="E12" s="47" t="s">
        <v>6</v>
      </c>
      <c r="G12" s="112" t="s">
        <v>105</v>
      </c>
      <c r="H12" s="140"/>
      <c r="I12" s="119">
        <v>19</v>
      </c>
      <c r="J12" s="86"/>
      <c r="K12" s="45"/>
      <c r="L12" s="112" t="s">
        <v>105</v>
      </c>
      <c r="M12" s="113"/>
      <c r="N12" s="119">
        <v>21</v>
      </c>
      <c r="O12" s="135"/>
      <c r="P12" s="8"/>
      <c r="Q12" s="8"/>
    </row>
    <row r="13" spans="2:22" ht="15.75" x14ac:dyDescent="0.2">
      <c r="B13" s="144" t="s">
        <v>45</v>
      </c>
      <c r="C13" s="128" t="s">
        <v>288</v>
      </c>
      <c r="D13" s="48">
        <f>I33</f>
        <v>1.6074076800246297</v>
      </c>
      <c r="E13" s="47" t="s">
        <v>6</v>
      </c>
      <c r="G13" s="118" t="s">
        <v>24</v>
      </c>
      <c r="H13" s="140"/>
      <c r="I13" s="126">
        <f>VLOOKUP($I$12,$B$52:$Z$70,5)</f>
        <v>27</v>
      </c>
      <c r="J13" s="85" t="s">
        <v>184</v>
      </c>
      <c r="K13" s="45"/>
      <c r="L13" s="118" t="s">
        <v>12</v>
      </c>
      <c r="M13" s="113"/>
      <c r="N13" s="130">
        <f>VLOOKUP($N$12,$B$78:$V$99,7)</f>
        <v>213.77777777777777</v>
      </c>
      <c r="O13" s="86" t="s">
        <v>13</v>
      </c>
      <c r="P13" s="8"/>
      <c r="Q13" s="8"/>
    </row>
    <row r="14" spans="2:22" ht="15.75" x14ac:dyDescent="0.2">
      <c r="B14" s="145" t="s">
        <v>255</v>
      </c>
      <c r="C14" s="128" t="s">
        <v>289</v>
      </c>
      <c r="D14" s="89">
        <f>I40</f>
        <v>8.9999999999999993E-3</v>
      </c>
      <c r="E14" s="51" t="s">
        <v>48</v>
      </c>
      <c r="G14" s="112" t="s">
        <v>260</v>
      </c>
      <c r="H14" s="140"/>
      <c r="I14" s="147">
        <f>VLOOKUP($I$12,$B$52:$Z$70,6)</f>
        <v>0.307</v>
      </c>
      <c r="J14" s="85" t="s">
        <v>99</v>
      </c>
      <c r="K14" s="106"/>
      <c r="L14" s="112" t="s">
        <v>236</v>
      </c>
      <c r="M14" s="113"/>
      <c r="N14" s="130">
        <f>VLOOKUP($N$12,$B$78:$V$99,8)</f>
        <v>444.4444444444444</v>
      </c>
      <c r="O14" s="85" t="s">
        <v>241</v>
      </c>
      <c r="P14" s="8"/>
      <c r="Q14" s="8"/>
    </row>
    <row r="15" spans="2:22" ht="15.75" x14ac:dyDescent="0.2">
      <c r="B15" s="102" t="s">
        <v>46</v>
      </c>
      <c r="C15" s="128" t="s">
        <v>290</v>
      </c>
      <c r="D15" s="48">
        <f>N37</f>
        <v>74</v>
      </c>
      <c r="E15" s="51" t="s">
        <v>32</v>
      </c>
      <c r="G15" s="112" t="s">
        <v>217</v>
      </c>
      <c r="H15" s="128" t="s">
        <v>216</v>
      </c>
      <c r="I15" s="148">
        <f>VLOOKUP($I$12,$B$52:$Z$70,10)</f>
        <v>2.39</v>
      </c>
      <c r="J15" s="86" t="s">
        <v>11</v>
      </c>
      <c r="K15" s="106"/>
      <c r="L15" s="118" t="s">
        <v>16</v>
      </c>
      <c r="M15" s="113"/>
      <c r="N15" s="130">
        <f>VLOOKUP($N$12,$B$78:$V$99,11)</f>
        <v>0</v>
      </c>
      <c r="O15" s="85" t="s">
        <v>135</v>
      </c>
      <c r="P15" s="8"/>
      <c r="Q15" s="8"/>
    </row>
    <row r="16" spans="2:22" ht="15.75" x14ac:dyDescent="0.2">
      <c r="B16" s="102" t="s">
        <v>252</v>
      </c>
      <c r="C16" s="128" t="s">
        <v>291</v>
      </c>
      <c r="D16" s="48">
        <f>N38</f>
        <v>0.34615384615384615</v>
      </c>
      <c r="E16" s="103" t="s">
        <v>148</v>
      </c>
      <c r="G16" s="112" t="s">
        <v>220</v>
      </c>
      <c r="H16" s="128" t="s">
        <v>219</v>
      </c>
      <c r="I16" s="149">
        <f>VLOOKUP($I$12,$B$52:$Z$70,8)</f>
        <v>17.399999999999999</v>
      </c>
      <c r="J16" s="85" t="s">
        <v>221</v>
      </c>
      <c r="K16" s="106"/>
      <c r="L16" s="118" t="s">
        <v>17</v>
      </c>
      <c r="M16" s="113"/>
      <c r="N16" s="130">
        <f>VLOOKUP($N$12,$B$78:$V$99,12)</f>
        <v>45</v>
      </c>
      <c r="O16" s="85" t="s">
        <v>135</v>
      </c>
      <c r="P16" s="8"/>
      <c r="Q16" s="8"/>
    </row>
    <row r="17" spans="2:17" ht="15.75" x14ac:dyDescent="0.2">
      <c r="B17" s="102" t="s">
        <v>253</v>
      </c>
      <c r="C17" s="128" t="s">
        <v>292</v>
      </c>
      <c r="D17" s="48">
        <f>N39</f>
        <v>0.16650000000000001</v>
      </c>
      <c r="E17" s="103" t="s">
        <v>254</v>
      </c>
      <c r="F17" s="8"/>
      <c r="G17" s="118" t="s">
        <v>49</v>
      </c>
      <c r="H17" s="128" t="s">
        <v>276</v>
      </c>
      <c r="I17" s="149">
        <f>VLOOKUP($I$12,$B$52:$Z$70,15)</f>
        <v>28</v>
      </c>
      <c r="J17" s="85" t="s">
        <v>135</v>
      </c>
      <c r="K17" s="107"/>
      <c r="L17" s="112" t="s">
        <v>228</v>
      </c>
      <c r="M17" s="113"/>
      <c r="N17" s="127">
        <f>VLOOKUP($N$12,$B$78:$V$99,9)</f>
        <v>0.3</v>
      </c>
      <c r="O17" s="85" t="s">
        <v>99</v>
      </c>
      <c r="P17" s="8"/>
      <c r="Q17" s="8"/>
    </row>
    <row r="18" spans="2:17" ht="16.5" thickBot="1" x14ac:dyDescent="0.25">
      <c r="B18" s="104" t="s">
        <v>100</v>
      </c>
      <c r="C18" s="142" t="s">
        <v>293</v>
      </c>
      <c r="D18" s="90">
        <f>D46</f>
        <v>5559.0395143297719</v>
      </c>
      <c r="E18" s="141" t="s">
        <v>263</v>
      </c>
      <c r="F18" s="8"/>
      <c r="G18" s="112" t="s">
        <v>209</v>
      </c>
      <c r="H18" s="128" t="s">
        <v>279</v>
      </c>
      <c r="I18" s="149">
        <f>VLOOKUP($I$12,$B$52:$Z$70,19)</f>
        <v>-6.5</v>
      </c>
      <c r="J18" s="87" t="s">
        <v>198</v>
      </c>
      <c r="K18" s="45"/>
      <c r="L18" s="112" t="s">
        <v>242</v>
      </c>
      <c r="M18" s="113"/>
      <c r="N18" s="150">
        <f>VLOOKUP($N$12,$B$78:$V$99,10)</f>
        <v>500</v>
      </c>
      <c r="O18" s="86"/>
    </row>
    <row r="19" spans="2:17" ht="13.5" customHeight="1" x14ac:dyDescent="0.2">
      <c r="F19" s="8"/>
      <c r="G19" s="112" t="s">
        <v>210</v>
      </c>
      <c r="H19" s="128" t="s">
        <v>274</v>
      </c>
      <c r="I19" s="149">
        <f>VLOOKUP($I$12,$B$52:$Z$70,17)</f>
        <v>10.3</v>
      </c>
      <c r="J19" s="85" t="s">
        <v>211</v>
      </c>
      <c r="K19" s="45"/>
      <c r="L19" s="112" t="s">
        <v>243</v>
      </c>
      <c r="M19" s="113"/>
      <c r="N19" s="151">
        <f>VLOOKUP($N$12,$B$78:$V$99,5)</f>
        <v>3.7</v>
      </c>
      <c r="O19" s="86" t="s">
        <v>15</v>
      </c>
      <c r="P19" s="8"/>
      <c r="Q19" s="8"/>
    </row>
    <row r="20" spans="2:17" ht="20.25" customHeight="1" thickBot="1" x14ac:dyDescent="0.35">
      <c r="B20" s="13" t="s">
        <v>69</v>
      </c>
      <c r="D20"/>
      <c r="F20" s="8"/>
      <c r="G20" s="112" t="s">
        <v>295</v>
      </c>
      <c r="H20" s="128" t="s">
        <v>275</v>
      </c>
      <c r="I20" s="127">
        <f>VLOOKUP($I$12,$B$52:$Z$70,22)</f>
        <v>0.84389999999999998</v>
      </c>
      <c r="J20" s="85" t="s">
        <v>99</v>
      </c>
      <c r="K20" s="45"/>
      <c r="L20" s="112" t="s">
        <v>244</v>
      </c>
      <c r="M20" s="113"/>
      <c r="N20" s="130">
        <f>VLOOKUP($N$12,$B$78:$V$99,6)</f>
        <v>4.2</v>
      </c>
      <c r="O20" s="86" t="s">
        <v>15</v>
      </c>
      <c r="P20" s="8"/>
      <c r="Q20" s="8"/>
    </row>
    <row r="21" spans="2:17" ht="15" customHeight="1" x14ac:dyDescent="0.2">
      <c r="B21" s="5" t="s">
        <v>4</v>
      </c>
      <c r="C21" s="6" t="s">
        <v>59</v>
      </c>
      <c r="D21" s="6" t="s">
        <v>60</v>
      </c>
      <c r="E21" s="7" t="s">
        <v>61</v>
      </c>
      <c r="F21" s="2"/>
      <c r="G21" s="118" t="s">
        <v>18</v>
      </c>
      <c r="H21" s="140"/>
      <c r="I21" s="131">
        <v>0.9</v>
      </c>
      <c r="J21" s="85" t="s">
        <v>99</v>
      </c>
      <c r="K21" s="45"/>
      <c r="L21" s="112" t="s">
        <v>246</v>
      </c>
      <c r="M21" s="113"/>
      <c r="N21" s="130">
        <f>VLOOKUP($N$12,$B$78:$V$99,13)</f>
        <v>1.3</v>
      </c>
      <c r="O21" s="85" t="s">
        <v>36</v>
      </c>
    </row>
    <row r="22" spans="2:17" ht="15.75" x14ac:dyDescent="0.3">
      <c r="B22" s="22" t="s">
        <v>70</v>
      </c>
      <c r="C22" s="23" t="s">
        <v>71</v>
      </c>
      <c r="D22" s="27">
        <v>500</v>
      </c>
      <c r="E22" s="25" t="s">
        <v>72</v>
      </c>
      <c r="F22" s="2"/>
      <c r="G22" s="112" t="s">
        <v>251</v>
      </c>
      <c r="H22" s="140"/>
      <c r="I22" s="132">
        <v>1.35</v>
      </c>
      <c r="J22" s="85"/>
      <c r="K22" s="45"/>
      <c r="L22" s="118" t="s">
        <v>41</v>
      </c>
      <c r="M22" s="113"/>
      <c r="N22" s="133">
        <v>10</v>
      </c>
      <c r="O22" s="86" t="s">
        <v>36</v>
      </c>
    </row>
    <row r="23" spans="2:17" ht="16.5" thickBot="1" x14ac:dyDescent="0.35">
      <c r="B23" s="28" t="s">
        <v>73</v>
      </c>
      <c r="C23" s="29" t="s">
        <v>74</v>
      </c>
      <c r="D23" s="50">
        <f>D22</f>
        <v>500</v>
      </c>
      <c r="E23" s="31" t="s">
        <v>52</v>
      </c>
      <c r="F23" s="2"/>
      <c r="G23" s="118" t="s">
        <v>50</v>
      </c>
      <c r="H23" s="128" t="s">
        <v>284</v>
      </c>
      <c r="I23" s="133">
        <v>10</v>
      </c>
      <c r="J23" s="86" t="s">
        <v>19</v>
      </c>
      <c r="L23" s="121" t="s">
        <v>228</v>
      </c>
      <c r="M23" s="122"/>
      <c r="N23" s="137">
        <v>0.2</v>
      </c>
      <c r="O23" s="105" t="s">
        <v>99</v>
      </c>
    </row>
    <row r="24" spans="2:17" ht="16.5" thickBot="1" x14ac:dyDescent="0.25">
      <c r="B24" s="28" t="s">
        <v>75</v>
      </c>
      <c r="C24" s="29" t="s">
        <v>76</v>
      </c>
      <c r="D24" s="30">
        <v>51</v>
      </c>
      <c r="E24" s="31" t="s">
        <v>19</v>
      </c>
      <c r="G24" s="121" t="s">
        <v>213</v>
      </c>
      <c r="H24" s="142" t="s">
        <v>283</v>
      </c>
      <c r="I24" s="134">
        <v>100000000000000</v>
      </c>
      <c r="J24" s="105" t="s">
        <v>256</v>
      </c>
    </row>
    <row r="25" spans="2:17" ht="15.75" x14ac:dyDescent="0.3">
      <c r="B25" s="28" t="s">
        <v>77</v>
      </c>
      <c r="C25" s="29" t="s">
        <v>78</v>
      </c>
      <c r="D25" s="32">
        <f>N6+D22</f>
        <v>6878</v>
      </c>
      <c r="E25" s="31" t="s">
        <v>52</v>
      </c>
    </row>
    <row r="26" spans="2:17" ht="21" thickBot="1" x14ac:dyDescent="0.35">
      <c r="B26" s="28" t="s">
        <v>79</v>
      </c>
      <c r="C26" s="29" t="s">
        <v>80</v>
      </c>
      <c r="D26" s="32">
        <f>N6+D23</f>
        <v>6878</v>
      </c>
      <c r="E26" s="31" t="s">
        <v>52</v>
      </c>
      <c r="G26" s="81" t="s">
        <v>103</v>
      </c>
      <c r="H26" s="80"/>
      <c r="I26" s="82"/>
      <c r="J26" s="82"/>
      <c r="L26" s="13" t="s">
        <v>247</v>
      </c>
    </row>
    <row r="27" spans="2:17" x14ac:dyDescent="0.2">
      <c r="B27" s="33" t="s">
        <v>81</v>
      </c>
      <c r="C27" s="34" t="s">
        <v>82</v>
      </c>
      <c r="D27" s="35">
        <f>(D25+D26)/2</f>
        <v>6878</v>
      </c>
      <c r="E27" s="36" t="s">
        <v>52</v>
      </c>
      <c r="G27" s="5" t="s">
        <v>4</v>
      </c>
      <c r="H27" s="6" t="s">
        <v>59</v>
      </c>
      <c r="I27" s="6" t="s">
        <v>60</v>
      </c>
      <c r="J27" s="7" t="s">
        <v>61</v>
      </c>
      <c r="L27" s="5" t="s">
        <v>4</v>
      </c>
      <c r="M27" s="6" t="s">
        <v>59</v>
      </c>
      <c r="N27" s="6" t="s">
        <v>60</v>
      </c>
      <c r="O27" s="7" t="s">
        <v>61</v>
      </c>
    </row>
    <row r="28" spans="2:17" ht="15.75" x14ac:dyDescent="0.2">
      <c r="B28" s="33" t="s">
        <v>83</v>
      </c>
      <c r="C28" s="34" t="s">
        <v>84</v>
      </c>
      <c r="D28" s="37">
        <f>(D26-D25)/(D26+D25)</f>
        <v>0</v>
      </c>
      <c r="E28" s="36"/>
      <c r="G28" s="112" t="s">
        <v>215</v>
      </c>
      <c r="H28" s="128" t="s">
        <v>277</v>
      </c>
      <c r="I28" s="114">
        <f>(D8-I17)*I18/1000+I15</f>
        <v>2.2145000000000001</v>
      </c>
      <c r="J28" s="85" t="s">
        <v>11</v>
      </c>
      <c r="L28" s="118" t="s">
        <v>29</v>
      </c>
      <c r="M28" s="113"/>
      <c r="N28" s="115">
        <f>D42/60*D5</f>
        <v>0.59587607035905088</v>
      </c>
      <c r="O28" s="86" t="s">
        <v>32</v>
      </c>
    </row>
    <row r="29" spans="2:17" ht="15.75" x14ac:dyDescent="0.3">
      <c r="B29" s="33" t="s">
        <v>85</v>
      </c>
      <c r="C29" s="38" t="s">
        <v>86</v>
      </c>
      <c r="D29" s="39">
        <f>2*PI()*SQRT(D27^3/N5)/60</f>
        <v>94.613466704852641</v>
      </c>
      <c r="E29" s="36" t="s">
        <v>87</v>
      </c>
      <c r="G29" s="112" t="s">
        <v>218</v>
      </c>
      <c r="H29" s="128" t="s">
        <v>278</v>
      </c>
      <c r="I29" s="115">
        <f>((D8-I17)*I19/1000+I16)*I13</f>
        <v>477.30869999999993</v>
      </c>
      <c r="J29" s="85" t="s">
        <v>222</v>
      </c>
      <c r="L29" s="118" t="s">
        <v>31</v>
      </c>
      <c r="M29" s="113"/>
      <c r="N29" s="115">
        <f>N28/N17</f>
        <v>1.9862535678635029</v>
      </c>
      <c r="O29" s="86" t="s">
        <v>32</v>
      </c>
    </row>
    <row r="30" spans="2:17" ht="15.75" x14ac:dyDescent="0.3">
      <c r="B30" s="28" t="s">
        <v>88</v>
      </c>
      <c r="C30" s="29" t="s">
        <v>89</v>
      </c>
      <c r="D30" s="40">
        <f>SQRT(N5*((2/D25)-(1/D27)))</f>
        <v>7.6126845447898415</v>
      </c>
      <c r="E30" s="31" t="s">
        <v>90</v>
      </c>
      <c r="G30" s="112" t="s">
        <v>212</v>
      </c>
      <c r="H30" s="128" t="s">
        <v>272</v>
      </c>
      <c r="I30" s="116">
        <f>1-((1-I20)/10^15)*I24*D6</f>
        <v>0.98438999999999999</v>
      </c>
      <c r="J30" s="85" t="s">
        <v>99</v>
      </c>
      <c r="L30" s="118" t="s">
        <v>30</v>
      </c>
      <c r="M30" s="113"/>
      <c r="N30" s="115">
        <f>N28/(D43/60)</f>
        <v>0.60740768002462986</v>
      </c>
      <c r="O30" s="86" t="s">
        <v>6</v>
      </c>
    </row>
    <row r="31" spans="2:17" ht="15.75" x14ac:dyDescent="0.3">
      <c r="B31" s="28" t="s">
        <v>91</v>
      </c>
      <c r="C31" s="29" t="s">
        <v>92</v>
      </c>
      <c r="D31" s="40">
        <f>SQRT(N5*((2/D26)-(1/D27)))</f>
        <v>7.6126845447898415</v>
      </c>
      <c r="E31" s="31" t="s">
        <v>90</v>
      </c>
      <c r="G31" s="112" t="s">
        <v>214</v>
      </c>
      <c r="H31" s="128" t="s">
        <v>285</v>
      </c>
      <c r="I31" s="116">
        <f>(I29*I28)/(I16*I15*I13)</f>
        <v>0.94137816693117882</v>
      </c>
      <c r="J31" s="117" t="s">
        <v>99</v>
      </c>
      <c r="L31" s="118" t="s">
        <v>33</v>
      </c>
      <c r="M31" s="113"/>
      <c r="N31" s="115">
        <f>ROUNDUP(D7/N19,0)</f>
        <v>2</v>
      </c>
      <c r="O31" s="85" t="s">
        <v>227</v>
      </c>
    </row>
    <row r="32" spans="2:17" ht="15.75" x14ac:dyDescent="0.2">
      <c r="B32" s="28" t="s">
        <v>93</v>
      </c>
      <c r="C32" s="29" t="s">
        <v>94</v>
      </c>
      <c r="D32" s="40">
        <f>D27*(1-D28^2)</f>
        <v>6878</v>
      </c>
      <c r="E32" s="31" t="s">
        <v>52</v>
      </c>
      <c r="G32" s="112" t="s">
        <v>223</v>
      </c>
      <c r="H32" s="128" t="s">
        <v>286</v>
      </c>
      <c r="I32" s="116">
        <f>COS(RADIANS(I23))</f>
        <v>0.98480775301220802</v>
      </c>
      <c r="J32" s="85" t="s">
        <v>99</v>
      </c>
      <c r="L32" s="118" t="s">
        <v>34</v>
      </c>
      <c r="M32" s="113"/>
      <c r="N32" s="115">
        <f>N31*N19</f>
        <v>7.4</v>
      </c>
      <c r="O32" s="86" t="s">
        <v>11</v>
      </c>
    </row>
    <row r="33" spans="2:15" x14ac:dyDescent="0.2">
      <c r="B33" s="28" t="s">
        <v>95</v>
      </c>
      <c r="C33" s="29" t="s">
        <v>96</v>
      </c>
      <c r="D33" s="40">
        <f>(60*60*24)*SQRT(N5/D27^3)</f>
        <v>95.628953863018651</v>
      </c>
      <c r="E33" s="31" t="s">
        <v>97</v>
      </c>
      <c r="G33" s="118" t="s">
        <v>21</v>
      </c>
      <c r="H33" s="140"/>
      <c r="I33" s="115">
        <f>D5*D42/D43+D5</f>
        <v>1.6074076800246297</v>
      </c>
      <c r="J33" s="86" t="s">
        <v>6</v>
      </c>
      <c r="L33" s="112" t="s">
        <v>250</v>
      </c>
      <c r="M33" s="113"/>
      <c r="N33" s="115">
        <f>N31*N20</f>
        <v>8.4</v>
      </c>
      <c r="O33" s="86" t="s">
        <v>11</v>
      </c>
    </row>
    <row r="34" spans="2:15" ht="13.5" thickBot="1" x14ac:dyDescent="0.25">
      <c r="B34" s="41" t="s">
        <v>95</v>
      </c>
      <c r="C34" s="42" t="s">
        <v>96</v>
      </c>
      <c r="D34" s="43">
        <f>D33/(2*PI())</f>
        <v>15.219820710006219</v>
      </c>
      <c r="E34" s="44" t="s">
        <v>98</v>
      </c>
      <c r="G34" s="118" t="s">
        <v>22</v>
      </c>
      <c r="H34" s="140"/>
      <c r="I34" s="115">
        <f>I33/(I30*I31*I32)</f>
        <v>1.7613402722555325</v>
      </c>
      <c r="J34" s="86" t="s">
        <v>6</v>
      </c>
      <c r="L34" s="118" t="s">
        <v>35</v>
      </c>
      <c r="M34" s="113"/>
      <c r="N34" s="115">
        <f>N29/N32</f>
        <v>0.26841264430587874</v>
      </c>
      <c r="O34" s="86" t="s">
        <v>36</v>
      </c>
    </row>
    <row r="35" spans="2:15" ht="14.25" x14ac:dyDescent="0.2">
      <c r="G35" s="112" t="s">
        <v>226</v>
      </c>
      <c r="H35" s="140"/>
      <c r="I35" s="119">
        <f>I34/(N8*I14)</f>
        <v>4.2404026093673672E-3</v>
      </c>
      <c r="J35" s="85" t="s">
        <v>48</v>
      </c>
      <c r="L35" s="118" t="s">
        <v>37</v>
      </c>
      <c r="M35" s="113"/>
      <c r="N35" s="115">
        <f>ROUNDUP(N34/N22,0)</f>
        <v>1</v>
      </c>
      <c r="O35" s="85" t="s">
        <v>227</v>
      </c>
    </row>
    <row r="36" spans="2:15" ht="21" thickBot="1" x14ac:dyDescent="0.35">
      <c r="B36" s="13" t="s">
        <v>40</v>
      </c>
      <c r="G36" s="118" t="s">
        <v>23</v>
      </c>
      <c r="H36" s="140"/>
      <c r="I36" s="120">
        <f>I35/(I13/100^2)</f>
        <v>1.5705194849508766</v>
      </c>
      <c r="J36" s="85" t="s">
        <v>227</v>
      </c>
      <c r="L36" s="118" t="s">
        <v>38</v>
      </c>
      <c r="M36" s="113"/>
      <c r="N36" s="115">
        <f>N35*N31</f>
        <v>2</v>
      </c>
      <c r="O36" s="85" t="s">
        <v>227</v>
      </c>
    </row>
    <row r="37" spans="2:15" ht="15.75" x14ac:dyDescent="0.2">
      <c r="B37" s="5" t="s">
        <v>4</v>
      </c>
      <c r="C37" s="6" t="s">
        <v>59</v>
      </c>
      <c r="D37" s="6" t="s">
        <v>60</v>
      </c>
      <c r="E37" s="7" t="s">
        <v>61</v>
      </c>
      <c r="G37" s="118" t="s">
        <v>33</v>
      </c>
      <c r="H37" s="140"/>
      <c r="I37" s="120">
        <f>ROUNDUP((1.2*D7)/(I28*I30*I31*I32),0)</f>
        <v>3</v>
      </c>
      <c r="J37" s="85" t="s">
        <v>227</v>
      </c>
      <c r="L37" s="124" t="s">
        <v>39</v>
      </c>
      <c r="M37" s="128" t="s">
        <v>290</v>
      </c>
      <c r="N37" s="120">
        <f>N32*N35*N22</f>
        <v>74</v>
      </c>
      <c r="O37" s="87" t="s">
        <v>32</v>
      </c>
    </row>
    <row r="38" spans="2:15" ht="15.75" x14ac:dyDescent="0.2">
      <c r="B38" s="118" t="s">
        <v>51</v>
      </c>
      <c r="C38" s="139" t="s">
        <v>266</v>
      </c>
      <c r="D38" s="152">
        <v>45</v>
      </c>
      <c r="E38" s="47" t="s">
        <v>19</v>
      </c>
      <c r="G38" s="118" t="s">
        <v>25</v>
      </c>
      <c r="H38" s="140"/>
      <c r="I38" s="120">
        <f>ROUNDUP(I36/I37,0)</f>
        <v>1</v>
      </c>
      <c r="J38" s="85" t="s">
        <v>227</v>
      </c>
      <c r="L38" s="124" t="s">
        <v>252</v>
      </c>
      <c r="M38" s="128" t="s">
        <v>291</v>
      </c>
      <c r="N38" s="115">
        <f>N37/N13</f>
        <v>0.34615384615384615</v>
      </c>
      <c r="O38" s="85" t="s">
        <v>148</v>
      </c>
    </row>
    <row r="39" spans="2:15" ht="16.5" thickBot="1" x14ac:dyDescent="0.25">
      <c r="B39" s="118" t="s">
        <v>26</v>
      </c>
      <c r="C39" s="139" t="s">
        <v>82</v>
      </c>
      <c r="D39" s="48">
        <f>DEGREES(ACOS(N6/(N6+D23)))</f>
        <v>21.981547828141458</v>
      </c>
      <c r="E39" s="47" t="s">
        <v>19</v>
      </c>
      <c r="G39" s="112" t="s">
        <v>249</v>
      </c>
      <c r="H39" s="128" t="s">
        <v>273</v>
      </c>
      <c r="I39" s="120">
        <f>I38*I37</f>
        <v>3</v>
      </c>
      <c r="J39" s="85" t="s">
        <v>227</v>
      </c>
      <c r="L39" s="125" t="s">
        <v>253</v>
      </c>
      <c r="M39" s="142" t="s">
        <v>292</v>
      </c>
      <c r="N39" s="123">
        <f>N37/N14</f>
        <v>0.16650000000000001</v>
      </c>
      <c r="O39" s="105" t="s">
        <v>254</v>
      </c>
    </row>
    <row r="40" spans="2:15" ht="15.75" x14ac:dyDescent="0.2">
      <c r="B40" s="112" t="s">
        <v>261</v>
      </c>
      <c r="C40" s="139" t="s">
        <v>267</v>
      </c>
      <c r="D40" s="48">
        <f>(180-(2*D39))/2</f>
        <v>68.018452171858542</v>
      </c>
      <c r="E40" s="47" t="s">
        <v>19</v>
      </c>
      <c r="G40" s="112" t="s">
        <v>296</v>
      </c>
      <c r="H40" s="128" t="s">
        <v>289</v>
      </c>
      <c r="I40" s="115">
        <f>I39*I13/100^2/I21</f>
        <v>8.9999999999999993E-3</v>
      </c>
      <c r="J40" s="85" t="s">
        <v>48</v>
      </c>
    </row>
    <row r="41" spans="2:15" ht="15.75" x14ac:dyDescent="0.2">
      <c r="B41" s="112" t="s">
        <v>262</v>
      </c>
      <c r="C41" s="140"/>
      <c r="D41" s="52">
        <f>D42/D29</f>
        <v>0.37788028984365857</v>
      </c>
      <c r="E41" s="51" t="s">
        <v>99</v>
      </c>
      <c r="G41" s="112" t="s">
        <v>297</v>
      </c>
      <c r="H41" s="140"/>
      <c r="I41" s="115">
        <f>I37*I28</f>
        <v>6.6435000000000004</v>
      </c>
      <c r="J41" s="85" t="s">
        <v>11</v>
      </c>
    </row>
    <row r="42" spans="2:15" ht="15.75" x14ac:dyDescent="0.2">
      <c r="B42" s="112" t="s">
        <v>264</v>
      </c>
      <c r="C42" s="128" t="s">
        <v>270</v>
      </c>
      <c r="D42" s="48">
        <f>D29*(D40*2)/360</f>
        <v>35.752564221543054</v>
      </c>
      <c r="E42" s="51" t="s">
        <v>87</v>
      </c>
      <c r="G42" s="112" t="s">
        <v>298</v>
      </c>
      <c r="H42" s="140"/>
      <c r="I42" s="115">
        <f>I37*I15</f>
        <v>7.17</v>
      </c>
      <c r="J42" s="85" t="s">
        <v>11</v>
      </c>
    </row>
    <row r="43" spans="2:15" ht="15.75" x14ac:dyDescent="0.2">
      <c r="B43" s="112" t="s">
        <v>265</v>
      </c>
      <c r="C43" s="128" t="s">
        <v>271</v>
      </c>
      <c r="D43" s="48">
        <f>D29-D42</f>
        <v>58.860902483309587</v>
      </c>
      <c r="E43" s="51" t="s">
        <v>87</v>
      </c>
      <c r="G43" s="112" t="s">
        <v>299</v>
      </c>
      <c r="H43" s="140"/>
      <c r="I43" s="115">
        <f>I38*I29/1000*I30*I32</f>
        <v>0.46271971375698784</v>
      </c>
      <c r="J43" s="85" t="s">
        <v>129</v>
      </c>
    </row>
    <row r="44" spans="2:15" ht="15.75" x14ac:dyDescent="0.2">
      <c r="B44" s="112" t="s">
        <v>27</v>
      </c>
      <c r="C44" s="128" t="s">
        <v>268</v>
      </c>
      <c r="D44" s="48">
        <f>D29*DEGREES((ACOS(COS(RADIANS(D40))/COS(RADIANS(D38)))))/180</f>
        <v>30.506723177945975</v>
      </c>
      <c r="E44" s="51" t="s">
        <v>87</v>
      </c>
      <c r="G44" s="112" t="s">
        <v>300</v>
      </c>
      <c r="H44" s="140"/>
      <c r="I44" s="115">
        <f>I38*I29/1000/I31</f>
        <v>0.50703183562881005</v>
      </c>
      <c r="J44" s="85" t="s">
        <v>129</v>
      </c>
    </row>
    <row r="45" spans="2:15" ht="15.75" x14ac:dyDescent="0.2">
      <c r="B45" s="112" t="s">
        <v>28</v>
      </c>
      <c r="C45" s="128" t="s">
        <v>269</v>
      </c>
      <c r="D45" s="48">
        <f>D29-D44</f>
        <v>64.106743526906669</v>
      </c>
      <c r="E45" s="51" t="s">
        <v>87</v>
      </c>
      <c r="G45" s="112" t="s">
        <v>259</v>
      </c>
      <c r="H45" s="128" t="s">
        <v>288</v>
      </c>
      <c r="I45" s="115">
        <f>I43*I41</f>
        <v>3.0740784183445489</v>
      </c>
      <c r="J45" s="85" t="s">
        <v>6</v>
      </c>
    </row>
    <row r="46" spans="2:15" ht="16.5" thickBot="1" x14ac:dyDescent="0.25">
      <c r="B46" s="121" t="s">
        <v>100</v>
      </c>
      <c r="C46" s="142" t="s">
        <v>293</v>
      </c>
      <c r="D46" s="90">
        <f>D6*365.25*D34</f>
        <v>5559.0395143297719</v>
      </c>
      <c r="E46" s="98" t="s">
        <v>263</v>
      </c>
      <c r="G46" s="121" t="s">
        <v>257</v>
      </c>
      <c r="H46" s="142" t="s">
        <v>287</v>
      </c>
      <c r="I46" s="123">
        <f>I44*I41</f>
        <v>3.3684659999999997</v>
      </c>
      <c r="J46" s="88" t="s">
        <v>6</v>
      </c>
    </row>
    <row r="48" spans="2:15" x14ac:dyDescent="0.2">
      <c r="C48"/>
      <c r="D48"/>
    </row>
    <row r="49" spans="2:26" ht="21" thickBot="1" x14ac:dyDescent="0.35">
      <c r="B49" s="13" t="s">
        <v>179</v>
      </c>
      <c r="M49" s="156" t="s">
        <v>200</v>
      </c>
      <c r="N49" s="157"/>
      <c r="O49" s="158"/>
      <c r="P49" s="156" t="s">
        <v>199</v>
      </c>
      <c r="Q49" s="157"/>
      <c r="R49" s="157"/>
      <c r="S49" s="157"/>
      <c r="T49" s="158"/>
      <c r="U49" s="75"/>
      <c r="V49" s="76" t="s">
        <v>202</v>
      </c>
      <c r="W49" s="77"/>
      <c r="X49" s="156" t="s">
        <v>204</v>
      </c>
      <c r="Y49" s="157"/>
      <c r="Z49" s="158"/>
    </row>
    <row r="50" spans="2:26" ht="13.5" thickBot="1" x14ac:dyDescent="0.25">
      <c r="B50" s="14" t="s">
        <v>183</v>
      </c>
      <c r="C50" s="14" t="s">
        <v>182</v>
      </c>
      <c r="D50" s="14" t="s">
        <v>120</v>
      </c>
      <c r="E50" s="14" t="s">
        <v>185</v>
      </c>
      <c r="F50" s="14" t="s">
        <v>24</v>
      </c>
      <c r="G50" s="14" t="s">
        <v>126</v>
      </c>
      <c r="H50" s="14" t="s">
        <v>130</v>
      </c>
      <c r="I50" s="14" t="s">
        <v>133</v>
      </c>
      <c r="J50" s="14" t="s">
        <v>127</v>
      </c>
      <c r="K50" s="14" t="s">
        <v>131</v>
      </c>
      <c r="L50" s="14" t="s">
        <v>194</v>
      </c>
      <c r="M50" s="61" t="s">
        <v>128</v>
      </c>
      <c r="N50" s="60" t="s">
        <v>132</v>
      </c>
      <c r="O50" s="62" t="s">
        <v>134</v>
      </c>
      <c r="P50" s="61" t="s">
        <v>196</v>
      </c>
      <c r="Q50" s="60" t="s">
        <v>130</v>
      </c>
      <c r="R50" s="60" t="s">
        <v>133</v>
      </c>
      <c r="S50" s="60" t="s">
        <v>127</v>
      </c>
      <c r="T50" s="62" t="s">
        <v>131</v>
      </c>
      <c r="U50" s="61" t="s">
        <v>133</v>
      </c>
      <c r="V50" s="60" t="s">
        <v>131</v>
      </c>
      <c r="W50" s="62" t="s">
        <v>194</v>
      </c>
      <c r="X50" s="14" t="s">
        <v>205</v>
      </c>
      <c r="Y50" s="14" t="s">
        <v>206</v>
      </c>
      <c r="Z50" s="14" t="s">
        <v>207</v>
      </c>
    </row>
    <row r="51" spans="2:26" ht="14.25" x14ac:dyDescent="0.2">
      <c r="B51" s="14"/>
      <c r="C51" s="14"/>
      <c r="D51" s="14"/>
      <c r="E51" s="14"/>
      <c r="F51" s="14" t="s">
        <v>181</v>
      </c>
      <c r="G51" s="14" t="s">
        <v>99</v>
      </c>
      <c r="H51" s="14" t="s">
        <v>193</v>
      </c>
      <c r="I51" s="14" t="s">
        <v>193</v>
      </c>
      <c r="J51" s="14" t="s">
        <v>11</v>
      </c>
      <c r="K51" s="14" t="s">
        <v>11</v>
      </c>
      <c r="L51" s="14" t="s">
        <v>195</v>
      </c>
      <c r="M51" s="61" t="s">
        <v>129</v>
      </c>
      <c r="N51" s="60" t="s">
        <v>129</v>
      </c>
      <c r="O51" s="62" t="s">
        <v>6</v>
      </c>
      <c r="P51" s="61" t="s">
        <v>135</v>
      </c>
      <c r="Q51" s="60" t="s">
        <v>197</v>
      </c>
      <c r="R51" s="60" t="s">
        <v>197</v>
      </c>
      <c r="S51" s="60" t="s">
        <v>198</v>
      </c>
      <c r="T51" s="62" t="s">
        <v>198</v>
      </c>
      <c r="U51" s="153" t="s">
        <v>203</v>
      </c>
      <c r="V51" s="154"/>
      <c r="W51" s="155"/>
      <c r="X51" s="14" t="s">
        <v>201</v>
      </c>
      <c r="Y51" s="14" t="s">
        <v>201</v>
      </c>
      <c r="Z51" s="14" t="s">
        <v>124</v>
      </c>
    </row>
    <row r="52" spans="2:26" x14ac:dyDescent="0.2">
      <c r="B52" s="11">
        <v>1</v>
      </c>
      <c r="C52" s="56" t="s">
        <v>8</v>
      </c>
      <c r="D52" s="57" t="s">
        <v>187</v>
      </c>
      <c r="E52" s="57" t="s">
        <v>186</v>
      </c>
      <c r="F52" s="17">
        <v>27.5</v>
      </c>
      <c r="G52" s="58">
        <v>0.14599999999999999</v>
      </c>
      <c r="H52" s="59">
        <v>42.5</v>
      </c>
      <c r="I52" s="59">
        <v>39.507600000000004</v>
      </c>
      <c r="J52" s="17">
        <v>0.60499999999999998</v>
      </c>
      <c r="K52" s="59">
        <v>0.5</v>
      </c>
      <c r="L52" s="59">
        <f t="shared" ref="L52:L70" si="0">I52*K52</f>
        <v>19.753800000000002</v>
      </c>
      <c r="M52" s="69">
        <f t="shared" ref="M52:M70" si="1">H52*F52/1000</f>
        <v>1.16875</v>
      </c>
      <c r="N52" s="70">
        <f t="shared" ref="N52:N70" si="2">I52*F52/1000</f>
        <v>1.0864590000000001</v>
      </c>
      <c r="O52" s="71">
        <f t="shared" ref="O52:O70" si="3">K52*N52</f>
        <v>0.54322950000000003</v>
      </c>
      <c r="P52" s="83">
        <v>28</v>
      </c>
      <c r="Q52" s="65">
        <v>22</v>
      </c>
      <c r="R52" s="65">
        <v>22</v>
      </c>
      <c r="S52" s="65">
        <v>-2.15</v>
      </c>
      <c r="T52" s="66">
        <v>-1.96</v>
      </c>
      <c r="U52" s="63">
        <v>0.86</v>
      </c>
      <c r="V52" s="65">
        <v>0.83</v>
      </c>
      <c r="W52" s="66">
        <v>0.71</v>
      </c>
      <c r="X52" s="17">
        <v>55</v>
      </c>
      <c r="Y52" s="57">
        <v>50</v>
      </c>
      <c r="Z52" s="59">
        <f t="shared" ref="Z52:Z70" si="4">(X52+Y52)/1000*F52</f>
        <v>2.8874999999999997</v>
      </c>
    </row>
    <row r="53" spans="2:26" x14ac:dyDescent="0.2">
      <c r="B53" s="11">
        <v>2</v>
      </c>
      <c r="C53" s="56" t="s">
        <v>188</v>
      </c>
      <c r="D53" s="57" t="s">
        <v>187</v>
      </c>
      <c r="E53" s="57" t="s">
        <v>186</v>
      </c>
      <c r="F53" s="17">
        <v>27.5</v>
      </c>
      <c r="G53" s="58">
        <v>0.16700000000000001</v>
      </c>
      <c r="H53" s="59">
        <v>46.87</v>
      </c>
      <c r="I53" s="59">
        <v>43.452115384615389</v>
      </c>
      <c r="J53" s="17">
        <v>0.625</v>
      </c>
      <c r="K53" s="59">
        <v>0.52</v>
      </c>
      <c r="L53" s="59">
        <f t="shared" si="0"/>
        <v>22.595100000000002</v>
      </c>
      <c r="M53" s="69">
        <f t="shared" si="1"/>
        <v>1.2889249999999999</v>
      </c>
      <c r="N53" s="70">
        <f t="shared" si="2"/>
        <v>1.194933173076923</v>
      </c>
      <c r="O53" s="71">
        <f t="shared" si="3"/>
        <v>0.62136524999999998</v>
      </c>
      <c r="P53" s="83">
        <v>28</v>
      </c>
      <c r="Q53" s="65">
        <v>45</v>
      </c>
      <c r="R53" s="65">
        <v>45</v>
      </c>
      <c r="S53" s="65">
        <v>-1.97</v>
      </c>
      <c r="T53" s="66">
        <v>-1.9</v>
      </c>
      <c r="U53" s="63">
        <v>0.95</v>
      </c>
      <c r="V53" s="65">
        <v>0.79</v>
      </c>
      <c r="W53" s="66">
        <v>0.75</v>
      </c>
      <c r="X53" s="17">
        <v>55</v>
      </c>
      <c r="Y53" s="57">
        <v>50</v>
      </c>
      <c r="Z53" s="59">
        <f t="shared" si="4"/>
        <v>2.8874999999999997</v>
      </c>
    </row>
    <row r="54" spans="2:26" x14ac:dyDescent="0.2">
      <c r="B54" s="11">
        <v>3</v>
      </c>
      <c r="C54" s="56" t="s">
        <v>7</v>
      </c>
      <c r="D54" s="57" t="s">
        <v>187</v>
      </c>
      <c r="E54" s="57" t="s">
        <v>186</v>
      </c>
      <c r="F54" s="17">
        <v>27.5</v>
      </c>
      <c r="G54" s="58">
        <v>0.19</v>
      </c>
      <c r="H54" s="59">
        <v>30</v>
      </c>
      <c r="I54" s="59">
        <v>28.563333333333333</v>
      </c>
      <c r="J54" s="17">
        <v>1.02</v>
      </c>
      <c r="K54" s="59">
        <v>0.9</v>
      </c>
      <c r="L54" s="59">
        <f t="shared" si="0"/>
        <v>25.707000000000001</v>
      </c>
      <c r="M54" s="69">
        <f t="shared" si="1"/>
        <v>0.82499999999999996</v>
      </c>
      <c r="N54" s="70">
        <f t="shared" si="2"/>
        <v>0.7854916666666667</v>
      </c>
      <c r="O54" s="71">
        <f t="shared" si="3"/>
        <v>0.70694250000000003</v>
      </c>
      <c r="P54" s="83">
        <v>28</v>
      </c>
      <c r="Q54" s="65">
        <v>20</v>
      </c>
      <c r="R54" s="65">
        <v>20</v>
      </c>
      <c r="S54" s="65">
        <v>-1.9</v>
      </c>
      <c r="T54" s="66">
        <v>-1.8</v>
      </c>
      <c r="U54" s="63">
        <v>0.83</v>
      </c>
      <c r="V54" s="65">
        <v>0.9</v>
      </c>
      <c r="W54" s="66">
        <v>0.75</v>
      </c>
      <c r="X54" s="17">
        <v>84</v>
      </c>
      <c r="Y54" s="57">
        <v>50</v>
      </c>
      <c r="Z54" s="59">
        <f t="shared" si="4"/>
        <v>3.6850000000000001</v>
      </c>
    </row>
    <row r="55" spans="2:26" x14ac:dyDescent="0.2">
      <c r="B55" s="11">
        <v>4</v>
      </c>
      <c r="C55" s="56" t="s">
        <v>192</v>
      </c>
      <c r="D55" s="57" t="s">
        <v>187</v>
      </c>
      <c r="E55" s="57" t="s">
        <v>189</v>
      </c>
      <c r="F55" s="17">
        <v>27.5</v>
      </c>
      <c r="G55" s="58">
        <v>0.218</v>
      </c>
      <c r="H55" s="59">
        <v>15.5</v>
      </c>
      <c r="I55" s="59">
        <v>14.146474820143887</v>
      </c>
      <c r="J55" s="17">
        <v>2.36</v>
      </c>
      <c r="K55" s="59">
        <v>2.085</v>
      </c>
      <c r="L55" s="59">
        <f t="shared" si="0"/>
        <v>29.495400000000004</v>
      </c>
      <c r="M55" s="69">
        <f t="shared" si="1"/>
        <v>0.42625000000000002</v>
      </c>
      <c r="N55" s="70">
        <f t="shared" si="2"/>
        <v>0.38902805755395692</v>
      </c>
      <c r="O55" s="71">
        <f t="shared" si="3"/>
        <v>0.81112350000000011</v>
      </c>
      <c r="P55" s="83">
        <v>28</v>
      </c>
      <c r="Q55" s="65">
        <v>12</v>
      </c>
      <c r="R55" s="65">
        <v>13</v>
      </c>
      <c r="S55" s="65">
        <v>-5</v>
      </c>
      <c r="T55" s="66">
        <v>-4.8</v>
      </c>
      <c r="U55" s="63">
        <v>0.91</v>
      </c>
      <c r="V55" s="65">
        <v>0.91</v>
      </c>
      <c r="W55" s="66">
        <v>0.83</v>
      </c>
      <c r="X55" s="17">
        <v>84</v>
      </c>
      <c r="Y55" s="57">
        <v>50</v>
      </c>
      <c r="Z55" s="59">
        <f t="shared" si="4"/>
        <v>3.6850000000000001</v>
      </c>
    </row>
    <row r="56" spans="2:26" x14ac:dyDescent="0.2">
      <c r="B56" s="11">
        <v>5</v>
      </c>
      <c r="C56" s="56" t="s">
        <v>191</v>
      </c>
      <c r="D56" s="57" t="s">
        <v>187</v>
      </c>
      <c r="E56" s="57" t="s">
        <v>190</v>
      </c>
      <c r="F56" s="17">
        <v>27.5</v>
      </c>
      <c r="G56" s="58">
        <v>0.28000000000000003</v>
      </c>
      <c r="H56" s="59">
        <v>17</v>
      </c>
      <c r="I56" s="59">
        <v>16.155223880597017</v>
      </c>
      <c r="J56" s="17">
        <v>2.66</v>
      </c>
      <c r="K56" s="59">
        <v>2.3450000000000002</v>
      </c>
      <c r="L56" s="59">
        <f t="shared" si="0"/>
        <v>37.884000000000007</v>
      </c>
      <c r="M56" s="69">
        <f t="shared" si="1"/>
        <v>0.46750000000000003</v>
      </c>
      <c r="N56" s="70">
        <f t="shared" si="2"/>
        <v>0.44426865671641796</v>
      </c>
      <c r="O56" s="71">
        <f t="shared" si="3"/>
        <v>1.0418100000000001</v>
      </c>
      <c r="P56" s="83">
        <v>28</v>
      </c>
      <c r="Q56" s="65">
        <v>12</v>
      </c>
      <c r="R56" s="65">
        <v>9</v>
      </c>
      <c r="S56" s="65">
        <v>-6.8</v>
      </c>
      <c r="T56" s="66">
        <v>-6.3</v>
      </c>
      <c r="U56" s="63">
        <v>0.95</v>
      </c>
      <c r="V56" s="65">
        <v>0.9</v>
      </c>
      <c r="W56" s="66">
        <v>0.86</v>
      </c>
      <c r="X56" s="17">
        <v>84</v>
      </c>
      <c r="Y56" s="57">
        <v>50</v>
      </c>
      <c r="Z56" s="59">
        <f t="shared" si="4"/>
        <v>3.6850000000000001</v>
      </c>
    </row>
    <row r="57" spans="2:26" x14ac:dyDescent="0.2">
      <c r="B57" s="11">
        <v>6</v>
      </c>
      <c r="C57" s="11" t="s">
        <v>107</v>
      </c>
      <c r="D57" s="17" t="s">
        <v>121</v>
      </c>
      <c r="E57" s="57"/>
      <c r="F57" s="17">
        <v>27.5</v>
      </c>
      <c r="G57" s="58">
        <v>0.27500000000000002</v>
      </c>
      <c r="H57" s="59">
        <v>17.100000000000001</v>
      </c>
      <c r="I57" s="59">
        <v>16.177173913043482</v>
      </c>
      <c r="J57" s="59">
        <v>2.6</v>
      </c>
      <c r="K57" s="59">
        <v>2.2999999999999998</v>
      </c>
      <c r="L57" s="59">
        <f t="shared" si="0"/>
        <v>37.207500000000003</v>
      </c>
      <c r="M57" s="69">
        <f t="shared" si="1"/>
        <v>0.47025000000000006</v>
      </c>
      <c r="N57" s="70">
        <f t="shared" si="2"/>
        <v>0.44487228260869577</v>
      </c>
      <c r="O57" s="71">
        <f t="shared" si="3"/>
        <v>1.0232062500000001</v>
      </c>
      <c r="P57" s="83">
        <v>28</v>
      </c>
      <c r="Q57" s="65"/>
      <c r="R57" s="65"/>
      <c r="S57" s="65"/>
      <c r="T57" s="66"/>
      <c r="U57" s="63"/>
      <c r="V57" s="65"/>
      <c r="W57" s="66"/>
      <c r="X57" s="17">
        <v>84</v>
      </c>
      <c r="Y57" s="57">
        <v>50</v>
      </c>
      <c r="Z57" s="59">
        <f t="shared" si="4"/>
        <v>3.6850000000000001</v>
      </c>
    </row>
    <row r="58" spans="2:26" x14ac:dyDescent="0.2">
      <c r="B58" s="11">
        <v>7</v>
      </c>
      <c r="C58" s="11" t="s">
        <v>108</v>
      </c>
      <c r="D58" s="17" t="s">
        <v>121</v>
      </c>
      <c r="E58" s="57"/>
      <c r="F58" s="17">
        <v>27.5</v>
      </c>
      <c r="G58" s="58">
        <v>0.27</v>
      </c>
      <c r="H58" s="59">
        <v>16.899999999999999</v>
      </c>
      <c r="I58" s="59">
        <v>15.987308533916851</v>
      </c>
      <c r="J58" s="59">
        <v>2.5750000000000002</v>
      </c>
      <c r="K58" s="59">
        <v>2.2850000000000001</v>
      </c>
      <c r="L58" s="59">
        <f t="shared" si="0"/>
        <v>36.531000000000006</v>
      </c>
      <c r="M58" s="69">
        <f t="shared" si="1"/>
        <v>0.46474999999999994</v>
      </c>
      <c r="N58" s="70">
        <f t="shared" si="2"/>
        <v>0.43965098468271341</v>
      </c>
      <c r="O58" s="71">
        <f t="shared" si="3"/>
        <v>1.0046025000000003</v>
      </c>
      <c r="P58" s="83">
        <v>28</v>
      </c>
      <c r="Q58" s="65"/>
      <c r="R58" s="65"/>
      <c r="S58" s="65"/>
      <c r="T58" s="66"/>
      <c r="U58" s="63"/>
      <c r="V58" s="65"/>
      <c r="W58" s="66"/>
      <c r="X58" s="17">
        <v>84</v>
      </c>
      <c r="Y58" s="57">
        <v>50</v>
      </c>
      <c r="Z58" s="59">
        <f t="shared" si="4"/>
        <v>3.6850000000000001</v>
      </c>
    </row>
    <row r="59" spans="2:26" x14ac:dyDescent="0.2">
      <c r="B59" s="11">
        <v>8</v>
      </c>
      <c r="C59" s="11" t="s">
        <v>109</v>
      </c>
      <c r="D59" s="17" t="s">
        <v>121</v>
      </c>
      <c r="E59" s="57"/>
      <c r="F59" s="17">
        <v>26.6</v>
      </c>
      <c r="G59" s="58">
        <v>0.28499999999999998</v>
      </c>
      <c r="H59" s="59">
        <v>17.100000000000001</v>
      </c>
      <c r="I59" s="59">
        <v>16.270253164556959</v>
      </c>
      <c r="J59" s="59">
        <v>2.7</v>
      </c>
      <c r="K59" s="59">
        <v>2.37</v>
      </c>
      <c r="L59" s="59">
        <f t="shared" si="0"/>
        <v>38.56049999999999</v>
      </c>
      <c r="M59" s="69">
        <f t="shared" si="1"/>
        <v>0.4548600000000001</v>
      </c>
      <c r="N59" s="70">
        <f t="shared" si="2"/>
        <v>0.43278873417721514</v>
      </c>
      <c r="O59" s="71">
        <f t="shared" si="3"/>
        <v>1.0257092999999999</v>
      </c>
      <c r="P59" s="83">
        <v>28</v>
      </c>
      <c r="Q59" s="65"/>
      <c r="R59" s="65"/>
      <c r="S59" s="65"/>
      <c r="T59" s="66"/>
      <c r="U59" s="63"/>
      <c r="V59" s="65"/>
      <c r="W59" s="66"/>
      <c r="X59" s="17">
        <v>84</v>
      </c>
      <c r="Y59" s="57">
        <v>50</v>
      </c>
      <c r="Z59" s="59">
        <f t="shared" si="4"/>
        <v>3.5644000000000005</v>
      </c>
    </row>
    <row r="60" spans="2:26" x14ac:dyDescent="0.2">
      <c r="B60" s="11">
        <v>9</v>
      </c>
      <c r="C60" s="11" t="s">
        <v>110</v>
      </c>
      <c r="D60" s="17" t="s">
        <v>121</v>
      </c>
      <c r="E60" s="57"/>
      <c r="F60" s="17">
        <v>27.5</v>
      </c>
      <c r="G60" s="58">
        <v>0.28000000000000003</v>
      </c>
      <c r="H60" s="59">
        <v>17</v>
      </c>
      <c r="I60" s="59">
        <v>16.259227467811161</v>
      </c>
      <c r="J60" s="59">
        <v>2.69</v>
      </c>
      <c r="K60" s="59">
        <v>2.33</v>
      </c>
      <c r="L60" s="59">
        <f t="shared" si="0"/>
        <v>37.884000000000007</v>
      </c>
      <c r="M60" s="69">
        <f t="shared" si="1"/>
        <v>0.46750000000000003</v>
      </c>
      <c r="N60" s="70">
        <f t="shared" si="2"/>
        <v>0.4471287553648069</v>
      </c>
      <c r="O60" s="71">
        <f t="shared" si="3"/>
        <v>1.0418100000000001</v>
      </c>
      <c r="P60" s="83">
        <v>28</v>
      </c>
      <c r="Q60" s="65"/>
      <c r="R60" s="65"/>
      <c r="S60" s="65"/>
      <c r="T60" s="66"/>
      <c r="U60" s="63"/>
      <c r="V60" s="65"/>
      <c r="W60" s="66"/>
      <c r="X60" s="17">
        <v>84</v>
      </c>
      <c r="Y60" s="57">
        <v>50</v>
      </c>
      <c r="Z60" s="59">
        <f t="shared" si="4"/>
        <v>3.6850000000000001</v>
      </c>
    </row>
    <row r="61" spans="2:26" x14ac:dyDescent="0.2">
      <c r="B61" s="11">
        <v>10</v>
      </c>
      <c r="C61" s="11" t="s">
        <v>111</v>
      </c>
      <c r="D61" s="17" t="s">
        <v>122</v>
      </c>
      <c r="E61" s="57"/>
      <c r="F61" s="17">
        <v>27.5</v>
      </c>
      <c r="G61" s="58">
        <v>0.215</v>
      </c>
      <c r="H61" s="59">
        <v>15.05</v>
      </c>
      <c r="I61" s="59">
        <v>13.95179856115108</v>
      </c>
      <c r="J61" s="59">
        <v>2.36</v>
      </c>
      <c r="K61" s="59">
        <v>2.085</v>
      </c>
      <c r="L61" s="59">
        <f t="shared" si="0"/>
        <v>29.089500000000001</v>
      </c>
      <c r="M61" s="69">
        <f t="shared" si="1"/>
        <v>0.41387499999999999</v>
      </c>
      <c r="N61" s="70">
        <f t="shared" si="2"/>
        <v>0.38367446043165465</v>
      </c>
      <c r="O61" s="71">
        <f t="shared" si="3"/>
        <v>0.79996124999999996</v>
      </c>
      <c r="P61" s="83">
        <v>28</v>
      </c>
      <c r="Q61" s="65"/>
      <c r="R61" s="65"/>
      <c r="S61" s="65"/>
      <c r="T61" s="66"/>
      <c r="U61" s="63"/>
      <c r="V61" s="65"/>
      <c r="W61" s="66"/>
      <c r="X61" s="17">
        <v>84</v>
      </c>
      <c r="Y61" s="57">
        <v>50</v>
      </c>
      <c r="Z61" s="59">
        <f t="shared" si="4"/>
        <v>3.6850000000000001</v>
      </c>
    </row>
    <row r="62" spans="2:26" x14ac:dyDescent="0.2">
      <c r="B62" s="11">
        <v>11</v>
      </c>
      <c r="C62" s="11" t="s">
        <v>112</v>
      </c>
      <c r="D62" s="17" t="s">
        <v>122</v>
      </c>
      <c r="E62" s="57"/>
      <c r="F62" s="17">
        <v>27.5</v>
      </c>
      <c r="G62" s="58">
        <v>0.19</v>
      </c>
      <c r="H62" s="59">
        <v>30.5</v>
      </c>
      <c r="I62" s="59">
        <v>28.563333333333333</v>
      </c>
      <c r="J62" s="59">
        <v>1.0249999999999999</v>
      </c>
      <c r="K62" s="59">
        <v>0.9</v>
      </c>
      <c r="L62" s="59">
        <f t="shared" si="0"/>
        <v>25.707000000000001</v>
      </c>
      <c r="M62" s="69">
        <f t="shared" si="1"/>
        <v>0.83875</v>
      </c>
      <c r="N62" s="70">
        <f t="shared" si="2"/>
        <v>0.7854916666666667</v>
      </c>
      <c r="O62" s="71">
        <f t="shared" si="3"/>
        <v>0.70694250000000003</v>
      </c>
      <c r="P62" s="83">
        <v>28</v>
      </c>
      <c r="Q62" s="65"/>
      <c r="R62" s="65"/>
      <c r="S62" s="65"/>
      <c r="T62" s="66"/>
      <c r="U62" s="63"/>
      <c r="V62" s="65"/>
      <c r="W62" s="66"/>
      <c r="X62" s="17">
        <v>80</v>
      </c>
      <c r="Y62" s="57">
        <v>50</v>
      </c>
      <c r="Z62" s="59">
        <f t="shared" si="4"/>
        <v>3.5750000000000002</v>
      </c>
    </row>
    <row r="63" spans="2:26" x14ac:dyDescent="0.2">
      <c r="B63" s="11">
        <v>12</v>
      </c>
      <c r="C63" s="11" t="s">
        <v>113</v>
      </c>
      <c r="D63" s="17" t="s">
        <v>123</v>
      </c>
      <c r="E63" s="57"/>
      <c r="F63" s="17">
        <v>27.5</v>
      </c>
      <c r="G63" s="58">
        <v>0.251</v>
      </c>
      <c r="H63" s="59">
        <v>15.6</v>
      </c>
      <c r="I63" s="59">
        <v>14.927604395604398</v>
      </c>
      <c r="J63" s="59">
        <v>2.5449999999999999</v>
      </c>
      <c r="K63" s="59">
        <v>2.2749999999999999</v>
      </c>
      <c r="L63" s="59">
        <f t="shared" si="0"/>
        <v>33.960300000000004</v>
      </c>
      <c r="M63" s="69">
        <f t="shared" si="1"/>
        <v>0.42899999999999999</v>
      </c>
      <c r="N63" s="70">
        <f t="shared" si="2"/>
        <v>0.41050912087912095</v>
      </c>
      <c r="O63" s="71">
        <f t="shared" si="3"/>
        <v>0.93390825000000011</v>
      </c>
      <c r="P63" s="83">
        <v>28</v>
      </c>
      <c r="Q63" s="65"/>
      <c r="R63" s="65"/>
      <c r="S63" s="65"/>
      <c r="T63" s="66"/>
      <c r="U63" s="63"/>
      <c r="V63" s="65"/>
      <c r="W63" s="66"/>
      <c r="X63" s="17">
        <v>84</v>
      </c>
      <c r="Y63" s="57">
        <v>50</v>
      </c>
      <c r="Z63" s="59">
        <f t="shared" si="4"/>
        <v>3.6850000000000001</v>
      </c>
    </row>
    <row r="64" spans="2:26" x14ac:dyDescent="0.2">
      <c r="B64" s="11">
        <v>13</v>
      </c>
      <c r="C64" s="11" t="s">
        <v>114</v>
      </c>
      <c r="D64" s="17" t="s">
        <v>123</v>
      </c>
      <c r="E64" s="57"/>
      <c r="F64" s="17">
        <v>27.5</v>
      </c>
      <c r="G64" s="58">
        <v>0.26800000000000002</v>
      </c>
      <c r="H64" s="59">
        <v>16.899999999999999</v>
      </c>
      <c r="I64" s="59">
        <v>15.973744493392072</v>
      </c>
      <c r="J64" s="59">
        <v>2.5649999999999999</v>
      </c>
      <c r="K64" s="59">
        <v>2.27</v>
      </c>
      <c r="L64" s="59">
        <f t="shared" si="0"/>
        <v>36.260400000000004</v>
      </c>
      <c r="M64" s="69">
        <f t="shared" si="1"/>
        <v>0.46474999999999994</v>
      </c>
      <c r="N64" s="70">
        <f t="shared" si="2"/>
        <v>0.43927797356828202</v>
      </c>
      <c r="O64" s="71">
        <f t="shared" si="3"/>
        <v>0.99716100000000019</v>
      </c>
      <c r="P64" s="83">
        <v>28</v>
      </c>
      <c r="Q64" s="65"/>
      <c r="R64" s="65"/>
      <c r="S64" s="65"/>
      <c r="T64" s="66"/>
      <c r="U64" s="63"/>
      <c r="V64" s="65"/>
      <c r="W64" s="66"/>
      <c r="X64" s="17">
        <v>84</v>
      </c>
      <c r="Y64" s="57">
        <v>50</v>
      </c>
      <c r="Z64" s="59">
        <f t="shared" si="4"/>
        <v>3.6850000000000001</v>
      </c>
    </row>
    <row r="65" spans="2:26" x14ac:dyDescent="0.2">
      <c r="B65" s="11">
        <v>14</v>
      </c>
      <c r="C65" s="11" t="s">
        <v>115</v>
      </c>
      <c r="D65" s="17" t="s">
        <v>123</v>
      </c>
      <c r="E65" s="57"/>
      <c r="F65" s="17">
        <v>27.5</v>
      </c>
      <c r="G65" s="58">
        <v>0.28299999999999997</v>
      </c>
      <c r="H65" s="59">
        <v>17.05</v>
      </c>
      <c r="I65" s="59">
        <v>16.293574468085108</v>
      </c>
      <c r="J65" s="59">
        <v>2.665</v>
      </c>
      <c r="K65" s="59">
        <v>2.35</v>
      </c>
      <c r="L65" s="59">
        <f t="shared" si="0"/>
        <v>38.289900000000003</v>
      </c>
      <c r="M65" s="69">
        <f t="shared" si="1"/>
        <v>0.46887499999999999</v>
      </c>
      <c r="N65" s="70">
        <f t="shared" si="2"/>
        <v>0.44807329787234046</v>
      </c>
      <c r="O65" s="71">
        <f t="shared" si="3"/>
        <v>1.0529722500000001</v>
      </c>
      <c r="P65" s="83">
        <v>28</v>
      </c>
      <c r="Q65" s="65"/>
      <c r="R65" s="65"/>
      <c r="S65" s="65"/>
      <c r="T65" s="66"/>
      <c r="U65" s="63"/>
      <c r="V65" s="65"/>
      <c r="W65" s="66"/>
      <c r="X65" s="17">
        <v>84</v>
      </c>
      <c r="Y65" s="57">
        <v>50</v>
      </c>
      <c r="Z65" s="59">
        <f t="shared" si="4"/>
        <v>3.6850000000000001</v>
      </c>
    </row>
    <row r="66" spans="2:26" x14ac:dyDescent="0.2">
      <c r="B66" s="11">
        <v>15</v>
      </c>
      <c r="C66" s="11" t="s">
        <v>116</v>
      </c>
      <c r="D66" s="17" t="s">
        <v>123</v>
      </c>
      <c r="E66" s="57"/>
      <c r="F66" s="17">
        <v>27.5</v>
      </c>
      <c r="G66" s="58">
        <v>0.13300000000000001</v>
      </c>
      <c r="H66" s="59">
        <v>39.200000000000003</v>
      </c>
      <c r="I66" s="59">
        <v>36.72428571428572</v>
      </c>
      <c r="J66" s="59">
        <v>0.58499999999999996</v>
      </c>
      <c r="K66" s="59">
        <v>0.49</v>
      </c>
      <c r="L66" s="59">
        <f t="shared" si="0"/>
        <v>17.994900000000001</v>
      </c>
      <c r="M66" s="69">
        <f t="shared" si="1"/>
        <v>1.0780000000000001</v>
      </c>
      <c r="N66" s="70">
        <f t="shared" si="2"/>
        <v>1.0099178571428573</v>
      </c>
      <c r="O66" s="71">
        <f t="shared" si="3"/>
        <v>0.4948597500000001</v>
      </c>
      <c r="P66" s="83">
        <v>28</v>
      </c>
      <c r="Q66" s="65"/>
      <c r="R66" s="65"/>
      <c r="S66" s="65"/>
      <c r="T66" s="66"/>
      <c r="U66" s="63"/>
      <c r="V66" s="65"/>
      <c r="W66" s="66"/>
      <c r="X66" s="17">
        <v>55</v>
      </c>
      <c r="Y66" s="57">
        <v>50</v>
      </c>
      <c r="Z66" s="59">
        <f t="shared" si="4"/>
        <v>2.8874999999999997</v>
      </c>
    </row>
    <row r="67" spans="2:26" x14ac:dyDescent="0.2">
      <c r="B67" s="11">
        <v>16</v>
      </c>
      <c r="C67" s="11" t="s">
        <v>117</v>
      </c>
      <c r="D67" s="17" t="s">
        <v>123</v>
      </c>
      <c r="E67" s="57"/>
      <c r="F67" s="17">
        <v>27.5</v>
      </c>
      <c r="G67" s="58">
        <v>0.123</v>
      </c>
      <c r="H67" s="59">
        <v>39.299999999999997</v>
      </c>
      <c r="I67" s="59">
        <v>36.656167400881053</v>
      </c>
      <c r="J67" s="59">
        <v>0.54500000000000004</v>
      </c>
      <c r="K67" s="59">
        <v>0.45400000000000001</v>
      </c>
      <c r="L67" s="59">
        <f t="shared" si="0"/>
        <v>16.6419</v>
      </c>
      <c r="M67" s="69">
        <f t="shared" si="1"/>
        <v>1.0807500000000001</v>
      </c>
      <c r="N67" s="70">
        <f t="shared" si="2"/>
        <v>1.008044603524229</v>
      </c>
      <c r="O67" s="71">
        <f t="shared" si="3"/>
        <v>0.45765224999999998</v>
      </c>
      <c r="P67" s="83">
        <v>28</v>
      </c>
      <c r="Q67" s="65"/>
      <c r="R67" s="65"/>
      <c r="S67" s="65"/>
      <c r="T67" s="66"/>
      <c r="U67" s="63"/>
      <c r="V67" s="65"/>
      <c r="W67" s="66"/>
      <c r="X67" s="17">
        <v>55</v>
      </c>
      <c r="Y67" s="57">
        <v>50</v>
      </c>
      <c r="Z67" s="59">
        <f t="shared" si="4"/>
        <v>2.8874999999999997</v>
      </c>
    </row>
    <row r="68" spans="2:26" x14ac:dyDescent="0.2">
      <c r="B68" s="11">
        <v>17</v>
      </c>
      <c r="C68" s="11" t="s">
        <v>118</v>
      </c>
      <c r="D68" s="17" t="s">
        <v>123</v>
      </c>
      <c r="E68" s="57"/>
      <c r="F68" s="17">
        <v>27.5</v>
      </c>
      <c r="G68" s="58">
        <v>0.13700000000000001</v>
      </c>
      <c r="H68" s="59">
        <v>39</v>
      </c>
      <c r="I68" s="59">
        <v>37.072200000000009</v>
      </c>
      <c r="J68" s="59">
        <v>0.60499999999999998</v>
      </c>
      <c r="K68" s="59">
        <v>0.5</v>
      </c>
      <c r="L68" s="59">
        <f t="shared" si="0"/>
        <v>18.536100000000005</v>
      </c>
      <c r="M68" s="69">
        <f t="shared" si="1"/>
        <v>1.0725</v>
      </c>
      <c r="N68" s="70">
        <f t="shared" si="2"/>
        <v>1.0194855000000003</v>
      </c>
      <c r="O68" s="71">
        <f t="shared" si="3"/>
        <v>0.50974275000000013</v>
      </c>
      <c r="P68" s="83">
        <v>28</v>
      </c>
      <c r="Q68" s="65"/>
      <c r="R68" s="65"/>
      <c r="S68" s="65"/>
      <c r="T68" s="66"/>
      <c r="U68" s="63"/>
      <c r="V68" s="65"/>
      <c r="W68" s="66"/>
      <c r="X68" s="17">
        <v>24</v>
      </c>
      <c r="Y68" s="57">
        <v>50</v>
      </c>
      <c r="Z68" s="59">
        <f t="shared" si="4"/>
        <v>2.0349999999999997</v>
      </c>
    </row>
    <row r="69" spans="2:26" x14ac:dyDescent="0.2">
      <c r="B69" s="11">
        <v>18</v>
      </c>
      <c r="C69" s="11" t="s">
        <v>119</v>
      </c>
      <c r="D69" s="17" t="s">
        <v>123</v>
      </c>
      <c r="E69" s="57"/>
      <c r="F69" s="17">
        <v>27.5</v>
      </c>
      <c r="G69" s="58">
        <v>0.14199999999999999</v>
      </c>
      <c r="H69" s="59">
        <v>41.9</v>
      </c>
      <c r="I69" s="59">
        <v>38.425199999999997</v>
      </c>
      <c r="J69" s="59">
        <v>0.61799999999999999</v>
      </c>
      <c r="K69" s="59">
        <v>0.5</v>
      </c>
      <c r="L69" s="59">
        <f t="shared" si="0"/>
        <v>19.212599999999998</v>
      </c>
      <c r="M69" s="72">
        <f t="shared" si="1"/>
        <v>1.15225</v>
      </c>
      <c r="N69" s="73">
        <f t="shared" si="2"/>
        <v>1.0566929999999999</v>
      </c>
      <c r="O69" s="74">
        <f t="shared" si="3"/>
        <v>0.52834649999999994</v>
      </c>
      <c r="P69" s="84">
        <v>28</v>
      </c>
      <c r="Q69" s="67"/>
      <c r="R69" s="67"/>
      <c r="S69" s="67"/>
      <c r="T69" s="68"/>
      <c r="U69" s="64"/>
      <c r="V69" s="67"/>
      <c r="W69" s="68"/>
      <c r="X69" s="17">
        <v>55</v>
      </c>
      <c r="Y69" s="57">
        <v>50</v>
      </c>
      <c r="Z69" s="59">
        <f t="shared" si="4"/>
        <v>2.8874999999999997</v>
      </c>
    </row>
    <row r="70" spans="2:26" ht="13.5" thickBot="1" x14ac:dyDescent="0.25">
      <c r="B70" s="11">
        <v>19</v>
      </c>
      <c r="C70" s="56" t="s">
        <v>305</v>
      </c>
      <c r="D70" s="57" t="s">
        <v>122</v>
      </c>
      <c r="E70" s="57" t="s">
        <v>190</v>
      </c>
      <c r="F70" s="17">
        <v>27</v>
      </c>
      <c r="G70" s="58">
        <v>0.307</v>
      </c>
      <c r="H70" s="59">
        <v>18.100000000000001</v>
      </c>
      <c r="I70" s="59">
        <v>17.399999999999999</v>
      </c>
      <c r="J70" s="59">
        <v>2.7149999999999999</v>
      </c>
      <c r="K70" s="59">
        <v>2.39</v>
      </c>
      <c r="L70" s="59">
        <f t="shared" si="0"/>
        <v>41.585999999999999</v>
      </c>
      <c r="M70" s="73">
        <f t="shared" si="1"/>
        <v>0.48870000000000002</v>
      </c>
      <c r="N70" s="73">
        <f t="shared" si="2"/>
        <v>0.46979999999999994</v>
      </c>
      <c r="O70" s="73">
        <f t="shared" si="3"/>
        <v>1.122822</v>
      </c>
      <c r="P70" s="159">
        <v>28</v>
      </c>
      <c r="Q70" s="67">
        <v>10</v>
      </c>
      <c r="R70" s="67">
        <v>10.3</v>
      </c>
      <c r="S70" s="67">
        <v>-6.2</v>
      </c>
      <c r="T70" s="67">
        <v>-6.5</v>
      </c>
      <c r="U70" s="67">
        <v>0.97</v>
      </c>
      <c r="V70" s="67">
        <v>0.87</v>
      </c>
      <c r="W70" s="67">
        <f>U70*V70</f>
        <v>0.84389999999999998</v>
      </c>
      <c r="X70" s="17">
        <v>50</v>
      </c>
      <c r="Y70" s="57">
        <v>50</v>
      </c>
      <c r="Z70" s="59">
        <f t="shared" si="4"/>
        <v>2.7</v>
      </c>
    </row>
    <row r="71" spans="2:26" x14ac:dyDescent="0.2">
      <c r="B71" s="14"/>
      <c r="C71" s="79" t="s">
        <v>208</v>
      </c>
      <c r="D71" s="14">
        <v>3</v>
      </c>
      <c r="E71" s="14">
        <v>4</v>
      </c>
      <c r="F71" s="14">
        <v>5</v>
      </c>
      <c r="G71" s="14">
        <v>6</v>
      </c>
      <c r="H71" s="14">
        <v>7</v>
      </c>
      <c r="I71" s="14">
        <v>8</v>
      </c>
      <c r="J71" s="14">
        <v>9</v>
      </c>
      <c r="K71" s="14">
        <v>10</v>
      </c>
      <c r="L71" s="14">
        <v>11</v>
      </c>
      <c r="M71" s="14">
        <v>12</v>
      </c>
      <c r="N71" s="14">
        <v>13</v>
      </c>
      <c r="O71" s="14">
        <v>14</v>
      </c>
      <c r="P71" s="14">
        <v>15</v>
      </c>
      <c r="Q71" s="14">
        <v>16</v>
      </c>
      <c r="R71" s="14">
        <v>17</v>
      </c>
      <c r="S71" s="14">
        <v>18</v>
      </c>
      <c r="T71" s="14">
        <v>19</v>
      </c>
      <c r="U71" s="14">
        <v>20</v>
      </c>
      <c r="V71" s="14">
        <v>21</v>
      </c>
      <c r="W71" s="14">
        <v>22</v>
      </c>
      <c r="X71" s="14">
        <v>23</v>
      </c>
      <c r="Y71" s="14">
        <v>24</v>
      </c>
      <c r="Z71" s="14">
        <v>25</v>
      </c>
    </row>
    <row r="72" spans="2:26" x14ac:dyDescent="0.2">
      <c r="C72"/>
      <c r="D72"/>
    </row>
    <row r="73" spans="2:26" x14ac:dyDescent="0.2">
      <c r="C73"/>
      <c r="D73"/>
    </row>
    <row r="74" spans="2:26" x14ac:dyDescent="0.2">
      <c r="C74"/>
      <c r="D74"/>
    </row>
    <row r="75" spans="2:26" ht="21" thickBot="1" x14ac:dyDescent="0.35">
      <c r="B75" s="13" t="s">
        <v>180</v>
      </c>
      <c r="C75"/>
      <c r="D75"/>
    </row>
    <row r="76" spans="2:26" ht="13.5" thickBot="1" x14ac:dyDescent="0.25">
      <c r="B76" s="14" t="s">
        <v>183</v>
      </c>
      <c r="C76" s="14" t="s">
        <v>2</v>
      </c>
      <c r="D76" s="14" t="s">
        <v>120</v>
      </c>
      <c r="E76" s="14" t="s">
        <v>233</v>
      </c>
      <c r="F76" s="14" t="s">
        <v>137</v>
      </c>
      <c r="G76" s="14" t="s">
        <v>138</v>
      </c>
      <c r="H76" s="14" t="s">
        <v>140</v>
      </c>
      <c r="I76" s="14" t="s">
        <v>236</v>
      </c>
      <c r="J76" s="14" t="s">
        <v>42</v>
      </c>
      <c r="K76" s="14" t="s">
        <v>238</v>
      </c>
      <c r="L76" s="14" t="s">
        <v>239</v>
      </c>
      <c r="M76" s="14" t="s">
        <v>240</v>
      </c>
      <c r="N76" s="14" t="s">
        <v>136</v>
      </c>
      <c r="O76" s="14" t="s">
        <v>139</v>
      </c>
      <c r="P76" s="14" t="s">
        <v>141</v>
      </c>
      <c r="Q76" s="14" t="s">
        <v>142</v>
      </c>
      <c r="R76" s="14" t="s">
        <v>143</v>
      </c>
      <c r="S76" s="14" t="s">
        <v>144</v>
      </c>
      <c r="T76" s="14" t="s">
        <v>145</v>
      </c>
      <c r="U76" s="14" t="s">
        <v>146</v>
      </c>
      <c r="V76" s="14" t="s">
        <v>147</v>
      </c>
    </row>
    <row r="77" spans="2:26" ht="14.25" x14ac:dyDescent="0.2">
      <c r="B77" s="14"/>
      <c r="C77" s="14" t="s">
        <v>3</v>
      </c>
      <c r="D77" s="14"/>
      <c r="E77" s="14"/>
      <c r="F77" s="14" t="s">
        <v>11</v>
      </c>
      <c r="G77" s="14" t="s">
        <v>11</v>
      </c>
      <c r="H77" s="14" t="s">
        <v>13</v>
      </c>
      <c r="I77" s="14" t="s">
        <v>237</v>
      </c>
      <c r="J77" s="14" t="s">
        <v>99</v>
      </c>
      <c r="K77" s="14"/>
      <c r="L77" s="61" t="s">
        <v>135</v>
      </c>
      <c r="M77" s="61" t="s">
        <v>135</v>
      </c>
      <c r="N77" s="14" t="s">
        <v>36</v>
      </c>
      <c r="O77" s="14" t="s">
        <v>32</v>
      </c>
      <c r="P77" s="14" t="s">
        <v>125</v>
      </c>
      <c r="Q77" s="14" t="s">
        <v>125</v>
      </c>
      <c r="R77" s="14" t="s">
        <v>125</v>
      </c>
      <c r="S77" s="14" t="s">
        <v>125</v>
      </c>
      <c r="T77" s="14" t="s">
        <v>148</v>
      </c>
      <c r="U77" s="14"/>
      <c r="V77" s="14"/>
    </row>
    <row r="78" spans="2:26" x14ac:dyDescent="0.2">
      <c r="B78" s="11">
        <v>1</v>
      </c>
      <c r="C78" s="56" t="s">
        <v>229</v>
      </c>
      <c r="D78" s="57" t="s">
        <v>187</v>
      </c>
      <c r="E78" s="57" t="s">
        <v>234</v>
      </c>
      <c r="F78" s="17">
        <v>1.25</v>
      </c>
      <c r="G78" s="17">
        <v>1.45</v>
      </c>
      <c r="H78" s="17">
        <f>(30+35)/2</f>
        <v>32.5</v>
      </c>
      <c r="I78" s="57">
        <f>(75+90)/2</f>
        <v>82.5</v>
      </c>
      <c r="J78" s="94">
        <v>0.2</v>
      </c>
      <c r="K78" s="96">
        <v>20000</v>
      </c>
      <c r="L78" s="100">
        <v>0</v>
      </c>
      <c r="M78" s="100">
        <v>20</v>
      </c>
      <c r="N78" s="99" t="s">
        <v>245</v>
      </c>
      <c r="O78" s="17"/>
      <c r="P78" s="17"/>
      <c r="Q78" s="17"/>
      <c r="R78" s="17"/>
      <c r="S78" s="17"/>
      <c r="T78" s="17"/>
      <c r="U78" s="17"/>
      <c r="V78" s="17"/>
    </row>
    <row r="79" spans="2:26" x14ac:dyDescent="0.2">
      <c r="B79" s="11">
        <v>2</v>
      </c>
      <c r="C79" s="56" t="s">
        <v>230</v>
      </c>
      <c r="D79" s="57" t="s">
        <v>187</v>
      </c>
      <c r="E79" s="57" t="s">
        <v>234</v>
      </c>
      <c r="F79" s="17">
        <v>1.25</v>
      </c>
      <c r="G79" s="17">
        <v>1.48</v>
      </c>
      <c r="H79" s="17">
        <f>(20+25)/2</f>
        <v>22.5</v>
      </c>
      <c r="I79" s="17">
        <f>(65+75)/2</f>
        <v>70</v>
      </c>
      <c r="J79" s="95">
        <v>0.25</v>
      </c>
      <c r="K79" s="97">
        <v>30000</v>
      </c>
      <c r="L79" s="100">
        <v>0</v>
      </c>
      <c r="M79" s="100">
        <v>20</v>
      </c>
      <c r="N79" s="99" t="s">
        <v>245</v>
      </c>
      <c r="O79" s="17"/>
      <c r="P79" s="17"/>
      <c r="Q79" s="17"/>
      <c r="R79" s="17"/>
      <c r="S79" s="17"/>
      <c r="T79" s="17"/>
      <c r="U79" s="17"/>
      <c r="V79" s="17"/>
    </row>
    <row r="80" spans="2:26" x14ac:dyDescent="0.2">
      <c r="B80" s="11">
        <v>3</v>
      </c>
      <c r="C80" s="56" t="s">
        <v>231</v>
      </c>
      <c r="D80" s="57" t="s">
        <v>187</v>
      </c>
      <c r="E80" s="57" t="s">
        <v>231</v>
      </c>
      <c r="F80" s="17">
        <v>1.25</v>
      </c>
      <c r="G80" s="17">
        <v>1.56</v>
      </c>
      <c r="H80" s="17">
        <f>(40+65)/2</f>
        <v>52.5</v>
      </c>
      <c r="I80" s="17">
        <f>(30+101)/2</f>
        <v>65.5</v>
      </c>
      <c r="J80" s="95">
        <v>0.35</v>
      </c>
      <c r="K80" s="97">
        <v>40000</v>
      </c>
      <c r="L80" s="101">
        <v>-10</v>
      </c>
      <c r="M80" s="101">
        <v>30</v>
      </c>
      <c r="N80" s="99" t="s">
        <v>245</v>
      </c>
      <c r="O80" s="17"/>
      <c r="P80" s="17"/>
      <c r="Q80" s="17"/>
      <c r="R80" s="17"/>
      <c r="S80" s="17"/>
      <c r="T80" s="17"/>
      <c r="U80" s="17"/>
      <c r="V80" s="17"/>
    </row>
    <row r="81" spans="2:22" x14ac:dyDescent="0.2">
      <c r="B81" s="11">
        <v>4</v>
      </c>
      <c r="C81" s="56" t="s">
        <v>232</v>
      </c>
      <c r="D81" s="57" t="s">
        <v>187</v>
      </c>
      <c r="E81" s="57" t="s">
        <v>235</v>
      </c>
      <c r="F81" s="17">
        <v>3.75</v>
      </c>
      <c r="G81" s="17">
        <v>4.2</v>
      </c>
      <c r="H81" s="17">
        <v>135</v>
      </c>
      <c r="I81" s="17">
        <f>(160+380)/2</f>
        <v>270</v>
      </c>
      <c r="J81" s="95">
        <v>0.2</v>
      </c>
      <c r="K81" s="97">
        <v>20000</v>
      </c>
      <c r="L81" s="101">
        <v>-10</v>
      </c>
      <c r="M81" s="101">
        <v>40</v>
      </c>
      <c r="N81" s="99" t="s">
        <v>245</v>
      </c>
      <c r="O81" s="17"/>
      <c r="P81" s="17"/>
      <c r="Q81" s="17"/>
      <c r="R81" s="17"/>
      <c r="S81" s="17"/>
      <c r="T81" s="17"/>
      <c r="U81" s="17"/>
      <c r="V81" s="17"/>
    </row>
    <row r="82" spans="2:22" x14ac:dyDescent="0.2">
      <c r="B82" s="11">
        <v>5</v>
      </c>
      <c r="C82" s="11" t="s">
        <v>149</v>
      </c>
      <c r="D82" s="17" t="s">
        <v>150</v>
      </c>
      <c r="E82" s="57" t="s">
        <v>235</v>
      </c>
      <c r="F82" s="17">
        <v>3.6</v>
      </c>
      <c r="G82" s="17">
        <v>4.2</v>
      </c>
      <c r="H82" s="91">
        <f>O82/T82</f>
        <v>133.33333333333334</v>
      </c>
      <c r="I82" s="91">
        <f t="shared" ref="I82:I97" si="5">O82/(R82*S82*P82)*100^3</f>
        <v>256.41025641025641</v>
      </c>
      <c r="J82" s="91"/>
      <c r="K82" s="91"/>
      <c r="L82" s="99" t="s">
        <v>245</v>
      </c>
      <c r="M82" s="99" t="s">
        <v>245</v>
      </c>
      <c r="N82" s="17">
        <v>1.5</v>
      </c>
      <c r="O82" s="17">
        <f>N82*F82</f>
        <v>5.4</v>
      </c>
      <c r="P82" s="92">
        <v>65</v>
      </c>
      <c r="Q82" s="93">
        <v>18</v>
      </c>
      <c r="R82" s="92">
        <f t="shared" ref="R82:S87" si="6">Q82</f>
        <v>18</v>
      </c>
      <c r="S82" s="92">
        <f t="shared" si="6"/>
        <v>18</v>
      </c>
      <c r="T82" s="17">
        <f>40.5/1000</f>
        <v>4.0500000000000001E-2</v>
      </c>
      <c r="U82" s="17" t="s">
        <v>151</v>
      </c>
      <c r="V82" s="17" t="s">
        <v>152</v>
      </c>
    </row>
    <row r="83" spans="2:22" x14ac:dyDescent="0.2">
      <c r="B83" s="11">
        <v>6</v>
      </c>
      <c r="C83" s="11" t="s">
        <v>153</v>
      </c>
      <c r="D83" s="17" t="s">
        <v>150</v>
      </c>
      <c r="E83" s="57" t="s">
        <v>235</v>
      </c>
      <c r="F83" s="17">
        <v>3.7</v>
      </c>
      <c r="G83" s="17">
        <v>4.0999999999999996</v>
      </c>
      <c r="H83" s="91">
        <f>O83/T83</f>
        <v>100.49382716049384</v>
      </c>
      <c r="I83" s="91">
        <f t="shared" si="5"/>
        <v>193.25735992402659</v>
      </c>
      <c r="J83" s="91"/>
      <c r="K83" s="91"/>
      <c r="L83" s="99" t="s">
        <v>245</v>
      </c>
      <c r="M83" s="99" t="s">
        <v>245</v>
      </c>
      <c r="N83" s="17">
        <v>1.1000000000000001</v>
      </c>
      <c r="O83" s="17">
        <f>N83*F83</f>
        <v>4.07</v>
      </c>
      <c r="P83" s="92">
        <v>65</v>
      </c>
      <c r="Q83" s="93">
        <v>18</v>
      </c>
      <c r="R83" s="92">
        <f t="shared" si="6"/>
        <v>18</v>
      </c>
      <c r="S83" s="92">
        <f t="shared" si="6"/>
        <v>18</v>
      </c>
      <c r="T83" s="17">
        <f>40.5/1000</f>
        <v>4.0500000000000001E-2</v>
      </c>
      <c r="U83" s="17" t="s">
        <v>154</v>
      </c>
      <c r="V83" s="17" t="s">
        <v>155</v>
      </c>
    </row>
    <row r="84" spans="2:22" x14ac:dyDescent="0.2">
      <c r="B84" s="11">
        <v>7</v>
      </c>
      <c r="C84" s="11" t="s">
        <v>156</v>
      </c>
      <c r="D84" s="17" t="s">
        <v>150</v>
      </c>
      <c r="E84" s="57" t="s">
        <v>235</v>
      </c>
      <c r="F84" s="17">
        <v>3.6</v>
      </c>
      <c r="G84" s="17">
        <v>4.2</v>
      </c>
      <c r="H84" s="17">
        <f>O84/T84</f>
        <v>180.00000000000003</v>
      </c>
      <c r="I84" s="91">
        <f t="shared" si="5"/>
        <v>367.52136752136755</v>
      </c>
      <c r="J84" s="91"/>
      <c r="K84" s="91"/>
      <c r="L84" s="99" t="s">
        <v>245</v>
      </c>
      <c r="M84" s="99" t="s">
        <v>245</v>
      </c>
      <c r="N84" s="17">
        <v>2.15</v>
      </c>
      <c r="O84" s="17">
        <f>N84*F84</f>
        <v>7.74</v>
      </c>
      <c r="P84" s="92">
        <v>65</v>
      </c>
      <c r="Q84" s="93">
        <v>18</v>
      </c>
      <c r="R84" s="92">
        <f t="shared" si="6"/>
        <v>18</v>
      </c>
      <c r="S84" s="92">
        <f t="shared" si="6"/>
        <v>18</v>
      </c>
      <c r="T84" s="17">
        <f>43/1000</f>
        <v>4.2999999999999997E-2</v>
      </c>
      <c r="U84" s="17" t="s">
        <v>155</v>
      </c>
      <c r="V84" s="17" t="s">
        <v>155</v>
      </c>
    </row>
    <row r="85" spans="2:22" x14ac:dyDescent="0.2">
      <c r="B85" s="11">
        <v>8</v>
      </c>
      <c r="C85" s="11" t="s">
        <v>157</v>
      </c>
      <c r="D85" s="17" t="s">
        <v>158</v>
      </c>
      <c r="E85" s="57" t="s">
        <v>235</v>
      </c>
      <c r="F85" s="17">
        <v>3.6</v>
      </c>
      <c r="G85" s="17">
        <v>4.0999999999999996</v>
      </c>
      <c r="H85" s="17">
        <v>118</v>
      </c>
      <c r="I85" s="91">
        <f t="shared" si="5"/>
        <v>185.37055574092611</v>
      </c>
      <c r="J85" s="91"/>
      <c r="K85" s="91"/>
      <c r="L85" s="99" t="s">
        <v>245</v>
      </c>
      <c r="M85" s="99" t="s">
        <v>245</v>
      </c>
      <c r="N85" s="17">
        <v>28</v>
      </c>
      <c r="O85" s="17">
        <v>100</v>
      </c>
      <c r="P85" s="92">
        <v>185</v>
      </c>
      <c r="Q85" s="93">
        <v>54</v>
      </c>
      <c r="R85" s="92">
        <f t="shared" si="6"/>
        <v>54</v>
      </c>
      <c r="S85" s="92">
        <f t="shared" si="6"/>
        <v>54</v>
      </c>
      <c r="T85" s="17">
        <v>0.81</v>
      </c>
      <c r="U85" s="17" t="s">
        <v>151</v>
      </c>
      <c r="V85" s="17" t="s">
        <v>159</v>
      </c>
    </row>
    <row r="86" spans="2:22" x14ac:dyDescent="0.2">
      <c r="B86" s="11">
        <v>9</v>
      </c>
      <c r="C86" s="11" t="s">
        <v>160</v>
      </c>
      <c r="D86" s="17" t="s">
        <v>158</v>
      </c>
      <c r="E86" s="57" t="s">
        <v>235</v>
      </c>
      <c r="F86" s="17">
        <v>3.6</v>
      </c>
      <c r="G86" s="17">
        <v>4.0999999999999996</v>
      </c>
      <c r="H86" s="17">
        <v>126</v>
      </c>
      <c r="I86" s="91">
        <f t="shared" si="5"/>
        <v>192.04389574759944</v>
      </c>
      <c r="J86" s="91"/>
      <c r="K86" s="91"/>
      <c r="L86" s="99" t="s">
        <v>245</v>
      </c>
      <c r="M86" s="99" t="s">
        <v>245</v>
      </c>
      <c r="N86" s="17">
        <v>39</v>
      </c>
      <c r="O86" s="17">
        <v>140</v>
      </c>
      <c r="P86" s="92">
        <v>250</v>
      </c>
      <c r="Q86" s="93">
        <v>54</v>
      </c>
      <c r="R86" s="92">
        <f t="shared" si="6"/>
        <v>54</v>
      </c>
      <c r="S86" s="92">
        <f t="shared" si="6"/>
        <v>54</v>
      </c>
      <c r="T86" s="17">
        <v>1.1299999999999999</v>
      </c>
      <c r="U86" s="17" t="s">
        <v>151</v>
      </c>
      <c r="V86" s="17" t="s">
        <v>161</v>
      </c>
    </row>
    <row r="87" spans="2:22" x14ac:dyDescent="0.2">
      <c r="B87" s="11">
        <v>10</v>
      </c>
      <c r="C87" s="11" t="s">
        <v>162</v>
      </c>
      <c r="D87" s="17" t="s">
        <v>158</v>
      </c>
      <c r="E87" s="57" t="s">
        <v>235</v>
      </c>
      <c r="F87" s="17">
        <v>3.6</v>
      </c>
      <c r="G87" s="17">
        <v>4.0999999999999996</v>
      </c>
      <c r="H87" s="17">
        <v>165</v>
      </c>
      <c r="I87" s="91">
        <f t="shared" si="5"/>
        <v>256.31897472410111</v>
      </c>
      <c r="J87" s="91"/>
      <c r="K87" s="91"/>
      <c r="L87" s="99" t="s">
        <v>245</v>
      </c>
      <c r="M87" s="99" t="s">
        <v>245</v>
      </c>
      <c r="N87" s="17">
        <v>50</v>
      </c>
      <c r="O87" s="17">
        <v>180</v>
      </c>
      <c r="P87" s="92">
        <v>250</v>
      </c>
      <c r="Q87" s="93">
        <v>53</v>
      </c>
      <c r="R87" s="92">
        <f t="shared" si="6"/>
        <v>53</v>
      </c>
      <c r="S87" s="92">
        <f t="shared" si="6"/>
        <v>53</v>
      </c>
      <c r="T87" s="17">
        <v>1.1100000000000001</v>
      </c>
      <c r="U87" s="17" t="s">
        <v>151</v>
      </c>
      <c r="V87" s="17" t="s">
        <v>163</v>
      </c>
    </row>
    <row r="88" spans="2:22" x14ac:dyDescent="0.2">
      <c r="B88" s="11">
        <v>11</v>
      </c>
      <c r="C88" s="11" t="s">
        <v>164</v>
      </c>
      <c r="D88" s="17" t="s">
        <v>158</v>
      </c>
      <c r="E88" s="57" t="s">
        <v>235</v>
      </c>
      <c r="F88" s="17">
        <v>3.6</v>
      </c>
      <c r="G88" s="17">
        <v>4.0999999999999996</v>
      </c>
      <c r="H88" s="17">
        <v>133</v>
      </c>
      <c r="I88" s="91">
        <f t="shared" si="5"/>
        <v>262.98487836949374</v>
      </c>
      <c r="J88" s="91"/>
      <c r="K88" s="91"/>
      <c r="L88" s="99" t="s">
        <v>245</v>
      </c>
      <c r="M88" s="99" t="s">
        <v>245</v>
      </c>
      <c r="N88" s="17">
        <v>5.8</v>
      </c>
      <c r="O88" s="17">
        <v>20</v>
      </c>
      <c r="P88" s="92">
        <v>65</v>
      </c>
      <c r="Q88" s="93">
        <f>SQRT(R88^2+S88^2)</f>
        <v>67.446274915668994</v>
      </c>
      <c r="R88" s="92">
        <v>18</v>
      </c>
      <c r="S88" s="92">
        <v>65</v>
      </c>
      <c r="T88" s="17">
        <v>0.15</v>
      </c>
      <c r="U88" s="17" t="s">
        <v>151</v>
      </c>
      <c r="V88" s="17" t="s">
        <v>159</v>
      </c>
    </row>
    <row r="89" spans="2:22" x14ac:dyDescent="0.2">
      <c r="B89" s="11">
        <v>12</v>
      </c>
      <c r="C89" s="11" t="s">
        <v>165</v>
      </c>
      <c r="D89" s="17" t="s">
        <v>158</v>
      </c>
      <c r="E89" s="57" t="s">
        <v>235</v>
      </c>
      <c r="F89" s="17">
        <v>3.6</v>
      </c>
      <c r="G89" s="17">
        <v>4.0999999999999996</v>
      </c>
      <c r="H89" s="17">
        <v>118</v>
      </c>
      <c r="I89" s="91">
        <f t="shared" si="5"/>
        <v>117.52620399066755</v>
      </c>
      <c r="J89" s="91"/>
      <c r="K89" s="91"/>
      <c r="L89" s="99" t="s">
        <v>245</v>
      </c>
      <c r="M89" s="99" t="s">
        <v>245</v>
      </c>
      <c r="N89" s="17">
        <v>7.5</v>
      </c>
      <c r="O89" s="17">
        <f>N89*F89</f>
        <v>27</v>
      </c>
      <c r="P89" s="92">
        <v>104</v>
      </c>
      <c r="Q89" s="93">
        <v>47</v>
      </c>
      <c r="R89" s="92">
        <f t="shared" ref="R89:S91" si="7">Q89</f>
        <v>47</v>
      </c>
      <c r="S89" s="92">
        <f t="shared" si="7"/>
        <v>47</v>
      </c>
      <c r="T89" s="17">
        <v>0.38</v>
      </c>
      <c r="U89" s="17" t="s">
        <v>151</v>
      </c>
      <c r="V89" s="17" t="s">
        <v>166</v>
      </c>
    </row>
    <row r="90" spans="2:22" x14ac:dyDescent="0.2">
      <c r="B90" s="11">
        <v>13</v>
      </c>
      <c r="C90" s="11" t="s">
        <v>167</v>
      </c>
      <c r="D90" s="17" t="s">
        <v>158</v>
      </c>
      <c r="E90" s="57" t="s">
        <v>235</v>
      </c>
      <c r="F90" s="17">
        <v>3.6</v>
      </c>
      <c r="G90" s="17">
        <v>4.0999999999999996</v>
      </c>
      <c r="H90" s="17">
        <v>150</v>
      </c>
      <c r="I90" s="91">
        <f t="shared" si="5"/>
        <v>233.19615912208505</v>
      </c>
      <c r="J90" s="91"/>
      <c r="K90" s="91"/>
      <c r="L90" s="99" t="s">
        <v>245</v>
      </c>
      <c r="M90" s="99" t="s">
        <v>245</v>
      </c>
      <c r="N90" s="17">
        <v>48</v>
      </c>
      <c r="O90" s="17">
        <v>170</v>
      </c>
      <c r="P90" s="92">
        <v>250</v>
      </c>
      <c r="Q90" s="93">
        <v>54</v>
      </c>
      <c r="R90" s="92">
        <f t="shared" si="7"/>
        <v>54</v>
      </c>
      <c r="S90" s="92">
        <f t="shared" si="7"/>
        <v>54</v>
      </c>
      <c r="T90" s="17">
        <v>1.1599999999999999</v>
      </c>
      <c r="U90" s="17" t="s">
        <v>151</v>
      </c>
      <c r="V90" s="17" t="s">
        <v>152</v>
      </c>
    </row>
    <row r="91" spans="2:22" x14ac:dyDescent="0.2">
      <c r="B91" s="11">
        <v>14</v>
      </c>
      <c r="C91" s="11" t="s">
        <v>168</v>
      </c>
      <c r="D91" s="17" t="s">
        <v>158</v>
      </c>
      <c r="E91" s="57" t="s">
        <v>235</v>
      </c>
      <c r="F91" s="17">
        <v>3.6</v>
      </c>
      <c r="G91" s="17">
        <v>4.0999999999999996</v>
      </c>
      <c r="H91" s="17">
        <v>139</v>
      </c>
      <c r="I91" s="91">
        <f t="shared" si="5"/>
        <v>244.27520696216916</v>
      </c>
      <c r="J91" s="91"/>
      <c r="K91" s="91"/>
      <c r="L91" s="99" t="s">
        <v>245</v>
      </c>
      <c r="M91" s="99" t="s">
        <v>245</v>
      </c>
      <c r="N91" s="17">
        <v>10</v>
      </c>
      <c r="O91" s="17">
        <v>36</v>
      </c>
      <c r="P91" s="92">
        <v>129</v>
      </c>
      <c r="Q91" s="93">
        <v>33.799999999999997</v>
      </c>
      <c r="R91" s="92">
        <f t="shared" si="7"/>
        <v>33.799999999999997</v>
      </c>
      <c r="S91" s="92">
        <f t="shared" si="7"/>
        <v>33.799999999999997</v>
      </c>
      <c r="T91" s="17">
        <v>0.25</v>
      </c>
      <c r="U91" s="17" t="s">
        <v>151</v>
      </c>
      <c r="V91" s="17" t="s">
        <v>152</v>
      </c>
    </row>
    <row r="92" spans="2:22" x14ac:dyDescent="0.2">
      <c r="B92" s="11">
        <v>15</v>
      </c>
      <c r="C92" s="11" t="s">
        <v>169</v>
      </c>
      <c r="D92" s="17" t="s">
        <v>170</v>
      </c>
      <c r="E92" s="57" t="s">
        <v>235</v>
      </c>
      <c r="F92" s="17">
        <v>3.6</v>
      </c>
      <c r="G92" s="17">
        <v>4.0999999999999996</v>
      </c>
      <c r="H92" s="17">
        <v>121</v>
      </c>
      <c r="I92" s="91">
        <f t="shared" si="5"/>
        <v>255.81505518972952</v>
      </c>
      <c r="J92" s="91"/>
      <c r="K92" s="91"/>
      <c r="L92" s="99" t="s">
        <v>245</v>
      </c>
      <c r="M92" s="99" t="s">
        <v>245</v>
      </c>
      <c r="N92" s="17">
        <v>15</v>
      </c>
      <c r="O92" s="17">
        <f t="shared" ref="O92:O97" si="8">N92*F92</f>
        <v>54</v>
      </c>
      <c r="P92" s="92">
        <v>101</v>
      </c>
      <c r="Q92" s="93">
        <f t="shared" ref="Q92:Q98" si="9">SQRT(R92^2+S92^2)</f>
        <v>66.850579653433073</v>
      </c>
      <c r="R92" s="92">
        <v>38</v>
      </c>
      <c r="S92" s="92">
        <v>55</v>
      </c>
      <c r="T92" s="17">
        <v>0.44500000000000001</v>
      </c>
      <c r="U92" s="17" t="s">
        <v>151</v>
      </c>
      <c r="V92" s="17" t="s">
        <v>159</v>
      </c>
    </row>
    <row r="93" spans="2:22" x14ac:dyDescent="0.2">
      <c r="B93" s="11">
        <v>16</v>
      </c>
      <c r="C93" s="11" t="s">
        <v>171</v>
      </c>
      <c r="D93" s="17" t="s">
        <v>170</v>
      </c>
      <c r="E93" s="57" t="s">
        <v>235</v>
      </c>
      <c r="F93" s="17">
        <v>3.6</v>
      </c>
      <c r="G93" s="17">
        <v>4.0999999999999996</v>
      </c>
      <c r="H93" s="17">
        <v>140</v>
      </c>
      <c r="I93" s="91">
        <f t="shared" si="5"/>
        <v>341.88426137398216</v>
      </c>
      <c r="J93" s="91"/>
      <c r="K93" s="91"/>
      <c r="L93" s="99" t="s">
        <v>245</v>
      </c>
      <c r="M93" s="99" t="s">
        <v>245</v>
      </c>
      <c r="N93" s="17">
        <v>75</v>
      </c>
      <c r="O93" s="17">
        <f t="shared" si="8"/>
        <v>270</v>
      </c>
      <c r="P93" s="92">
        <v>173.7</v>
      </c>
      <c r="Q93" s="93">
        <f t="shared" si="9"/>
        <v>98.505076011340662</v>
      </c>
      <c r="R93" s="92">
        <v>56.2</v>
      </c>
      <c r="S93" s="92">
        <v>80.900000000000006</v>
      </c>
      <c r="T93" s="17">
        <v>1.82</v>
      </c>
      <c r="U93" s="17" t="s">
        <v>172</v>
      </c>
      <c r="V93" s="17" t="s">
        <v>159</v>
      </c>
    </row>
    <row r="94" spans="2:22" x14ac:dyDescent="0.2">
      <c r="B94" s="11">
        <v>17</v>
      </c>
      <c r="C94" s="11" t="s">
        <v>173</v>
      </c>
      <c r="D94" s="17" t="s">
        <v>174</v>
      </c>
      <c r="E94" s="57" t="s">
        <v>235</v>
      </c>
      <c r="F94" s="17">
        <v>3.6</v>
      </c>
      <c r="G94" s="17">
        <v>4.0999999999999996</v>
      </c>
      <c r="H94" s="17">
        <v>127</v>
      </c>
      <c r="I94" s="91">
        <f t="shared" si="5"/>
        <v>245.25070071628775</v>
      </c>
      <c r="J94" s="91"/>
      <c r="K94" s="91"/>
      <c r="L94" s="99" t="s">
        <v>245</v>
      </c>
      <c r="M94" s="99" t="s">
        <v>245</v>
      </c>
      <c r="N94" s="17">
        <v>7</v>
      </c>
      <c r="O94" s="17">
        <f t="shared" si="8"/>
        <v>25.2</v>
      </c>
      <c r="P94" s="92">
        <v>76</v>
      </c>
      <c r="Q94" s="93">
        <f t="shared" si="9"/>
        <v>58.137767414994535</v>
      </c>
      <c r="R94" s="92">
        <v>26</v>
      </c>
      <c r="S94" s="92">
        <v>52</v>
      </c>
      <c r="T94" s="17">
        <v>0.23400000000000001</v>
      </c>
      <c r="U94" s="17" t="s">
        <v>175</v>
      </c>
      <c r="V94" s="17" t="s">
        <v>161</v>
      </c>
    </row>
    <row r="95" spans="2:22" x14ac:dyDescent="0.2">
      <c r="B95" s="11">
        <v>18</v>
      </c>
      <c r="C95" s="11" t="s">
        <v>176</v>
      </c>
      <c r="D95" s="17" t="s">
        <v>174</v>
      </c>
      <c r="E95" s="57" t="s">
        <v>235</v>
      </c>
      <c r="F95" s="17">
        <v>3.6</v>
      </c>
      <c r="G95" s="17">
        <v>4.0999999999999996</v>
      </c>
      <c r="H95" s="17">
        <v>130</v>
      </c>
      <c r="I95" s="91">
        <f t="shared" si="5"/>
        <v>288.46153846153851</v>
      </c>
      <c r="J95" s="91"/>
      <c r="K95" s="91"/>
      <c r="L95" s="99" t="s">
        <v>245</v>
      </c>
      <c r="M95" s="99" t="s">
        <v>245</v>
      </c>
      <c r="N95" s="17">
        <v>10</v>
      </c>
      <c r="O95" s="17">
        <f t="shared" si="8"/>
        <v>36</v>
      </c>
      <c r="P95" s="92">
        <v>64</v>
      </c>
      <c r="Q95" s="93">
        <f t="shared" si="9"/>
        <v>81.908485518900903</v>
      </c>
      <c r="R95" s="92">
        <v>25</v>
      </c>
      <c r="S95" s="92">
        <v>78</v>
      </c>
      <c r="T95" s="17">
        <v>0.30499999999999999</v>
      </c>
      <c r="U95" s="17" t="s">
        <v>155</v>
      </c>
      <c r="V95" s="17" t="s">
        <v>161</v>
      </c>
    </row>
    <row r="96" spans="2:22" x14ac:dyDescent="0.2">
      <c r="B96" s="11">
        <v>19</v>
      </c>
      <c r="C96" s="11" t="s">
        <v>177</v>
      </c>
      <c r="D96" s="17" t="s">
        <v>174</v>
      </c>
      <c r="E96" s="57" t="s">
        <v>235</v>
      </c>
      <c r="F96" s="17">
        <v>3.6</v>
      </c>
      <c r="G96" s="17">
        <v>4.0999999999999996</v>
      </c>
      <c r="H96" s="17">
        <v>125</v>
      </c>
      <c r="I96" s="91">
        <f t="shared" si="5"/>
        <v>238.60811930405967</v>
      </c>
      <c r="J96" s="91"/>
      <c r="K96" s="91"/>
      <c r="L96" s="99" t="s">
        <v>245</v>
      </c>
      <c r="M96" s="99" t="s">
        <v>245</v>
      </c>
      <c r="N96" s="17">
        <v>12</v>
      </c>
      <c r="O96" s="17">
        <f t="shared" si="8"/>
        <v>43.2</v>
      </c>
      <c r="P96" s="92">
        <v>102</v>
      </c>
      <c r="Q96" s="93">
        <f t="shared" si="9"/>
        <v>75.272837066235255</v>
      </c>
      <c r="R96" s="92">
        <v>25</v>
      </c>
      <c r="S96" s="92">
        <v>71</v>
      </c>
      <c r="T96" s="17">
        <v>0.42</v>
      </c>
      <c r="U96" s="17" t="s">
        <v>155</v>
      </c>
      <c r="V96" s="17" t="s">
        <v>161</v>
      </c>
    </row>
    <row r="97" spans="2:22" x14ac:dyDescent="0.2">
      <c r="B97" s="11">
        <v>20</v>
      </c>
      <c r="C97" s="11" t="s">
        <v>178</v>
      </c>
      <c r="D97" s="17" t="s">
        <v>174</v>
      </c>
      <c r="E97" s="57" t="s">
        <v>235</v>
      </c>
      <c r="F97" s="17">
        <v>3.6</v>
      </c>
      <c r="G97" s="17">
        <v>4.0999999999999996</v>
      </c>
      <c r="H97" s="17">
        <v>145</v>
      </c>
      <c r="I97" s="91">
        <f t="shared" si="5"/>
        <v>267.11515631183221</v>
      </c>
      <c r="J97" s="91"/>
      <c r="K97" s="91"/>
      <c r="L97" s="99" t="s">
        <v>245</v>
      </c>
      <c r="M97" s="99" t="s">
        <v>245</v>
      </c>
      <c r="N97" s="17">
        <v>30</v>
      </c>
      <c r="O97" s="17">
        <f t="shared" si="8"/>
        <v>108</v>
      </c>
      <c r="P97" s="92">
        <v>152</v>
      </c>
      <c r="Q97" s="93">
        <f t="shared" si="9"/>
        <v>99.040395798886024</v>
      </c>
      <c r="R97" s="92">
        <v>28</v>
      </c>
      <c r="S97" s="92">
        <v>95</v>
      </c>
      <c r="T97" s="17">
        <v>0.89</v>
      </c>
      <c r="U97" s="17" t="s">
        <v>155</v>
      </c>
      <c r="V97" s="17" t="s">
        <v>161</v>
      </c>
    </row>
    <row r="98" spans="2:22" x14ac:dyDescent="0.2">
      <c r="B98" s="11">
        <v>21</v>
      </c>
      <c r="C98" s="56" t="s">
        <v>302</v>
      </c>
      <c r="D98" s="57" t="s">
        <v>301</v>
      </c>
      <c r="E98" s="57" t="s">
        <v>235</v>
      </c>
      <c r="F98" s="17">
        <v>3.7</v>
      </c>
      <c r="G98" s="17">
        <v>4.2</v>
      </c>
      <c r="H98" s="91">
        <f>1300*3.7/1000/(22.5/1000)</f>
        <v>213.77777777777777</v>
      </c>
      <c r="I98" s="91">
        <f>(1300*F98/1000)/((58.5*37*5)/100^3)</f>
        <v>444.4444444444444</v>
      </c>
      <c r="J98" s="160">
        <v>0.3</v>
      </c>
      <c r="K98" s="91">
        <v>500</v>
      </c>
      <c r="L98" s="99">
        <v>0</v>
      </c>
      <c r="M98" s="99">
        <v>45</v>
      </c>
      <c r="N98" s="17">
        <f>1300/1000</f>
        <v>1.3</v>
      </c>
      <c r="O98" s="17">
        <f>3.7*(1300/1000)</f>
        <v>4.8100000000000005</v>
      </c>
      <c r="P98" s="92">
        <v>58.5</v>
      </c>
      <c r="Q98" s="93">
        <f t="shared" si="9"/>
        <v>37.336309405188942</v>
      </c>
      <c r="R98" s="92">
        <v>5</v>
      </c>
      <c r="S98" s="92">
        <v>37</v>
      </c>
      <c r="T98" s="57">
        <f>22.5/1000</f>
        <v>2.2499999999999999E-2</v>
      </c>
      <c r="U98" s="57" t="s">
        <v>155</v>
      </c>
      <c r="V98" s="57" t="s">
        <v>155</v>
      </c>
    </row>
    <row r="99" spans="2:22" ht="13.5" thickBot="1" x14ac:dyDescent="0.25">
      <c r="B99" s="11">
        <v>22</v>
      </c>
      <c r="C99" s="56" t="s">
        <v>303</v>
      </c>
      <c r="D99" s="57" t="s">
        <v>304</v>
      </c>
      <c r="E99" s="57" t="s">
        <v>235</v>
      </c>
      <c r="F99" s="17">
        <v>3.6</v>
      </c>
      <c r="G99" s="17">
        <v>4.0999999999999996</v>
      </c>
      <c r="H99" s="91"/>
      <c r="I99" s="91"/>
      <c r="J99" s="91"/>
      <c r="K99" s="91"/>
      <c r="L99" s="99"/>
      <c r="M99" s="99"/>
      <c r="N99" s="17"/>
      <c r="O99" s="17"/>
      <c r="P99" s="92"/>
      <c r="Q99" s="93"/>
      <c r="R99" s="92"/>
      <c r="S99" s="92"/>
      <c r="T99" s="17"/>
      <c r="U99" s="17"/>
      <c r="V99" s="17"/>
    </row>
    <row r="100" spans="2:22" x14ac:dyDescent="0.2">
      <c r="B100" s="14"/>
      <c r="C100" s="79" t="s">
        <v>208</v>
      </c>
      <c r="D100" s="14">
        <v>3</v>
      </c>
      <c r="E100" s="14">
        <v>4</v>
      </c>
      <c r="F100" s="14">
        <v>5</v>
      </c>
      <c r="G100" s="14">
        <v>6</v>
      </c>
      <c r="H100" s="14">
        <v>7</v>
      </c>
      <c r="I100" s="14">
        <v>8</v>
      </c>
      <c r="J100" s="14">
        <v>9</v>
      </c>
      <c r="K100" s="14">
        <v>10</v>
      </c>
      <c r="L100" s="14">
        <v>11</v>
      </c>
      <c r="M100" s="14">
        <v>12</v>
      </c>
      <c r="N100" s="14">
        <v>13</v>
      </c>
      <c r="O100" s="14">
        <v>14</v>
      </c>
      <c r="P100" s="14">
        <v>15</v>
      </c>
      <c r="Q100" s="14">
        <v>16</v>
      </c>
      <c r="R100" s="14">
        <v>17</v>
      </c>
      <c r="S100" s="14">
        <v>18</v>
      </c>
      <c r="T100" s="14">
        <v>19</v>
      </c>
      <c r="U100" s="14">
        <v>20</v>
      </c>
      <c r="V100" s="14">
        <v>21</v>
      </c>
    </row>
    <row r="102" spans="2:22" x14ac:dyDescent="0.2">
      <c r="C102"/>
      <c r="D102"/>
    </row>
    <row r="103" spans="2:22" x14ac:dyDescent="0.2">
      <c r="C103"/>
      <c r="D103"/>
    </row>
    <row r="104" spans="2:22" x14ac:dyDescent="0.2">
      <c r="C104"/>
      <c r="D104"/>
    </row>
    <row r="105" spans="2:22" x14ac:dyDescent="0.2">
      <c r="C105"/>
      <c r="D105"/>
    </row>
    <row r="106" spans="2:22" x14ac:dyDescent="0.2">
      <c r="C106"/>
      <c r="D106"/>
    </row>
    <row r="107" spans="2:22" x14ac:dyDescent="0.2">
      <c r="C107"/>
      <c r="D107"/>
    </row>
    <row r="108" spans="2:22" x14ac:dyDescent="0.2">
      <c r="C108"/>
      <c r="D108"/>
    </row>
    <row r="109" spans="2:22" x14ac:dyDescent="0.2">
      <c r="C109"/>
      <c r="D109"/>
    </row>
    <row r="110" spans="2:22" x14ac:dyDescent="0.2">
      <c r="C110"/>
      <c r="D110"/>
    </row>
    <row r="111" spans="2:22" x14ac:dyDescent="0.2">
      <c r="C111"/>
      <c r="D111"/>
    </row>
  </sheetData>
  <mergeCells count="4">
    <mergeCell ref="U51:W51"/>
    <mergeCell ref="M49:O49"/>
    <mergeCell ref="P49:T49"/>
    <mergeCell ref="X49:Z49"/>
  </mergeCell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0" r:id="rId4" name="Drop Down 20">
              <controlPr defaultSize="0" autoLine="0" autoPict="0">
                <anchor moveWithCells="1">
                  <from>
                    <xdr:col>6</xdr:col>
                    <xdr:colOff>1028700</xdr:colOff>
                    <xdr:row>11</xdr:row>
                    <xdr:rowOff>0</xdr:rowOff>
                  </from>
                  <to>
                    <xdr:col>6</xdr:col>
                    <xdr:colOff>1924050</xdr:colOff>
                    <xdr:row>12</xdr:row>
                    <xdr:rowOff>0</xdr:rowOff>
                  </to>
                </anchor>
              </controlPr>
            </control>
          </mc:Choice>
        </mc:AlternateContent>
        <mc:AlternateContent xmlns:mc="http://schemas.openxmlformats.org/markup-compatibility/2006">
          <mc:Choice Requires="x14">
            <control shapeId="5141" r:id="rId5" name="Drop Down 21">
              <controlPr defaultSize="0" autoLine="0" autoPict="0">
                <anchor moveWithCells="1">
                  <from>
                    <xdr:col>11</xdr:col>
                    <xdr:colOff>762000</xdr:colOff>
                    <xdr:row>11</xdr:row>
                    <xdr:rowOff>0</xdr:rowOff>
                  </from>
                  <to>
                    <xdr:col>13</xdr:col>
                    <xdr:colOff>0</xdr:colOff>
                    <xdr:row>12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B70" workbookViewId="0">
      <selection activeCell="O75" sqref="O75"/>
    </sheetView>
  </sheetViews>
  <sheetFormatPr defaultRowHeight="12.75"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DOD</vt:lpstr>
      <vt:lpstr>Power Example</vt:lpstr>
      <vt:lpstr>Power Blank</vt:lpstr>
      <vt:lpstr>Sheet1</vt:lpstr>
    </vt:vector>
  </TitlesOfParts>
  <Company>Utah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Kwong</dc:creator>
  <cp:lastModifiedBy>CSE</cp:lastModifiedBy>
  <cp:lastPrinted>2004-10-21T02:25:39Z</cp:lastPrinted>
  <dcterms:created xsi:type="dcterms:W3CDTF">2004-10-19T17:53:29Z</dcterms:created>
  <dcterms:modified xsi:type="dcterms:W3CDTF">2017-11-16T02:00:01Z</dcterms:modified>
</cp:coreProperties>
</file>