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athan Tipton\Google Drive\Spring 2017\Space Systems Engineering\"/>
    </mc:Choice>
  </mc:AlternateContent>
  <bookViews>
    <workbookView xWindow="0" yWindow="0" windowWidth="25200" windowHeight="11850" tabRatio="698" activeTab="1"/>
  </bookViews>
  <sheets>
    <sheet name="Config" sheetId="16448" r:id="rId1"/>
    <sheet name="Lighting" sheetId="473" r:id="rId2"/>
    <sheet name="ModelState" sheetId="25419" r:id="rId3"/>
    <sheet name="names" sheetId="99" r:id="rId4"/>
  </sheets>
  <functionGroups builtInGroupCount="18"/>
  <definedNames>
    <definedName name="CNFG_Number_Sides">Config!#REF!</definedName>
    <definedName name="g0">9.80665</definedName>
    <definedName name="LIG_Attitude">Lighting!$D$52</definedName>
    <definedName name="LIG_Body_Power">Lighting!$D$72</definedName>
    <definedName name="LIG_Elements">Lighting!$D$44</definedName>
    <definedName name="LIG_OALighting">Lighting!$N$222</definedName>
    <definedName name="LIG_OAPower">Lighting!$H$222</definedName>
    <definedName name="LIG_Panel_Power">Lighting!$D$80</definedName>
    <definedName name="Lig_Power">Lighting!$AJ$147</definedName>
    <definedName name="LIG_SunEarth">Lighting!$H$147</definedName>
    <definedName name="Model_Body_Surfaces">ModelState!$C$80</definedName>
    <definedName name="Model_Panel_Surfaces">ModelState!$C$123</definedName>
    <definedName name="Mu">398600.5</definedName>
    <definedName name="Rearth">6378.137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148" i="473" l="1"/>
  <c r="AI147" i="473"/>
  <c r="AI218" i="473"/>
  <c r="AI149" i="473"/>
  <c r="AI150" i="473"/>
  <c r="AI151" i="473"/>
  <c r="AI152" i="473"/>
  <c r="AI153" i="473"/>
  <c r="AI154" i="473"/>
  <c r="AI155" i="473"/>
  <c r="AI156" i="473"/>
  <c r="AI157" i="473"/>
  <c r="AI158" i="473"/>
  <c r="AI159" i="473"/>
  <c r="AI160" i="473"/>
  <c r="AI161" i="473"/>
  <c r="AI162" i="473"/>
  <c r="AI163" i="473"/>
  <c r="AI164" i="473"/>
  <c r="AI165" i="473"/>
  <c r="AI166" i="473"/>
  <c r="AI167" i="473"/>
  <c r="AI168" i="473"/>
  <c r="AI169" i="473"/>
  <c r="AI170" i="473"/>
  <c r="AI171" i="473"/>
  <c r="AI172" i="473"/>
  <c r="AI173" i="473"/>
  <c r="AI174" i="473"/>
  <c r="AI175" i="473"/>
  <c r="AI176" i="473"/>
  <c r="AI177" i="473"/>
  <c r="AI178" i="473"/>
  <c r="AI179" i="473"/>
  <c r="AI180" i="473"/>
  <c r="AI181" i="473"/>
  <c r="AI182" i="473"/>
  <c r="AI183" i="473"/>
  <c r="AI184" i="473"/>
  <c r="AI185" i="473"/>
  <c r="AI186" i="473"/>
  <c r="AI187" i="473"/>
  <c r="AI188" i="473"/>
  <c r="AI189" i="473"/>
  <c r="AI190" i="473"/>
  <c r="AI191" i="473"/>
  <c r="AI192" i="473"/>
  <c r="AI193" i="473"/>
  <c r="AI194" i="473"/>
  <c r="AI195" i="473"/>
  <c r="AI196" i="473"/>
  <c r="AI197" i="473"/>
  <c r="AI198" i="473"/>
  <c r="AI199" i="473"/>
  <c r="AI200" i="473"/>
  <c r="AI201" i="473"/>
  <c r="AI202" i="473"/>
  <c r="AI203" i="473"/>
  <c r="AI204" i="473"/>
  <c r="AI205" i="473"/>
  <c r="AI206" i="473"/>
  <c r="AI207" i="473"/>
  <c r="AI208" i="473"/>
  <c r="AI209" i="473"/>
  <c r="AI210" i="473"/>
  <c r="AI211" i="473"/>
  <c r="AI212" i="473"/>
  <c r="AI213" i="473"/>
  <c r="AI214" i="473"/>
  <c r="AI215" i="473"/>
  <c r="AI216" i="473"/>
  <c r="AI217" i="473"/>
  <c r="S77" i="473"/>
  <c r="S82" i="473"/>
  <c r="S80" i="473"/>
  <c r="S81" i="473" s="1"/>
  <c r="S83" i="473" s="1"/>
  <c r="S76" i="473"/>
  <c r="F90" i="16448"/>
  <c r="G90" i="16448"/>
  <c r="H90" i="16448"/>
  <c r="I90" i="16448"/>
  <c r="J90" i="16448"/>
  <c r="K90" i="16448"/>
  <c r="L90" i="16448"/>
  <c r="E90" i="16448"/>
  <c r="E73" i="16448"/>
  <c r="E72" i="16448"/>
  <c r="J99" i="16448" s="1"/>
  <c r="M10" i="16448" s="1"/>
  <c r="J108" i="25419" s="1"/>
  <c r="T7" i="473" s="1"/>
  <c r="I74" i="473" s="1"/>
  <c r="E71" i="16448"/>
  <c r="E74" i="16448" s="1"/>
  <c r="E99" i="16448"/>
  <c r="H10" i="16448" s="1"/>
  <c r="E108" i="25419" s="1"/>
  <c r="O7" i="473" s="1"/>
  <c r="D74" i="473" s="1"/>
  <c r="E118" i="16448"/>
  <c r="F118" i="16448"/>
  <c r="G118" i="16448"/>
  <c r="H118" i="16448"/>
  <c r="I118" i="16448"/>
  <c r="L29" i="16448" s="1"/>
  <c r="I125" i="25419" s="1"/>
  <c r="J118" i="16448"/>
  <c r="K118" i="16448"/>
  <c r="L118" i="16448"/>
  <c r="J103" i="16448"/>
  <c r="I103" i="16448"/>
  <c r="L14" i="16448" s="1"/>
  <c r="I87" i="25419" s="1"/>
  <c r="H103" i="16448"/>
  <c r="K14" i="16448" s="1"/>
  <c r="H87" i="25419" s="1"/>
  <c r="G103" i="16448"/>
  <c r="J14" i="16448" s="1"/>
  <c r="G87" i="25419" s="1"/>
  <c r="F105" i="16448"/>
  <c r="I16" i="16448" s="1"/>
  <c r="F89" i="25419" s="1"/>
  <c r="E105" i="16448"/>
  <c r="K100" i="16448"/>
  <c r="N11" i="16448" s="1"/>
  <c r="K84" i="25419" s="1"/>
  <c r="L100" i="16448"/>
  <c r="M100" i="16448"/>
  <c r="P11" i="16448" s="1"/>
  <c r="M84" i="25419" s="1"/>
  <c r="N100" i="16448"/>
  <c r="Q11" i="16448" s="1"/>
  <c r="N84" i="25419" s="1"/>
  <c r="O100" i="16448"/>
  <c r="R11" i="16448" s="1"/>
  <c r="O84" i="25419" s="1"/>
  <c r="P100" i="16448"/>
  <c r="S11" i="16448" s="1"/>
  <c r="P84" i="25419" s="1"/>
  <c r="K101" i="16448"/>
  <c r="N12" i="16448" s="1"/>
  <c r="K85" i="25419" s="1"/>
  <c r="L101" i="16448"/>
  <c r="O12" i="16448" s="1"/>
  <c r="L85" i="25419" s="1"/>
  <c r="M101" i="16448"/>
  <c r="P12" i="16448" s="1"/>
  <c r="M85" i="25419" s="1"/>
  <c r="N101" i="16448"/>
  <c r="Q12" i="16448" s="1"/>
  <c r="N85" i="25419" s="1"/>
  <c r="O101" i="16448"/>
  <c r="P101" i="16448"/>
  <c r="K102" i="16448"/>
  <c r="N13" i="16448" s="1"/>
  <c r="K86" i="25419" s="1"/>
  <c r="L102" i="16448"/>
  <c r="M102" i="16448"/>
  <c r="N102" i="16448"/>
  <c r="O102" i="16448"/>
  <c r="P102" i="16448"/>
  <c r="S13" i="16448" s="1"/>
  <c r="P86" i="25419" s="1"/>
  <c r="E75" i="16448"/>
  <c r="E119" i="16448"/>
  <c r="E123" i="16448"/>
  <c r="H34" i="16448"/>
  <c r="E129" i="25419"/>
  <c r="L119" i="16448"/>
  <c r="L123" i="16448" s="1"/>
  <c r="O34" i="16448" s="1"/>
  <c r="L129" i="25419" s="1"/>
  <c r="L132" i="16448"/>
  <c r="O43" i="16448"/>
  <c r="L138" i="25419"/>
  <c r="K119" i="16448"/>
  <c r="K135" i="16448" s="1"/>
  <c r="N46" i="16448" s="1"/>
  <c r="K141" i="25419" s="1"/>
  <c r="J119" i="16448"/>
  <c r="I119" i="16448"/>
  <c r="I123" i="16448"/>
  <c r="L34" i="16448" s="1"/>
  <c r="I129" i="25419" s="1"/>
  <c r="H119" i="16448"/>
  <c r="H125" i="16448" s="1"/>
  <c r="K36" i="16448" s="1"/>
  <c r="H131" i="25419" s="1"/>
  <c r="H133" i="16448"/>
  <c r="K44" i="16448" s="1"/>
  <c r="H139" i="25419" s="1"/>
  <c r="G119" i="16448"/>
  <c r="G131" i="16448" s="1"/>
  <c r="J42" i="16448" s="1"/>
  <c r="G137" i="25419" s="1"/>
  <c r="F119" i="16448"/>
  <c r="F123" i="16448"/>
  <c r="I34" i="16448"/>
  <c r="F129" i="25419"/>
  <c r="G133" i="16448"/>
  <c r="J44" i="16448"/>
  <c r="G139" i="25419"/>
  <c r="L131" i="16448"/>
  <c r="O42" i="16448"/>
  <c r="L137" i="25419"/>
  <c r="H131" i="16448"/>
  <c r="K42" i="16448" s="1"/>
  <c r="H137" i="25419" s="1"/>
  <c r="M30" i="16448"/>
  <c r="J126" i="25419" s="1"/>
  <c r="T12" i="473" s="1"/>
  <c r="O29" i="16448"/>
  <c r="L125" i="25419"/>
  <c r="V11" i="473" s="1"/>
  <c r="K80" i="473" s="1"/>
  <c r="N29" i="16448"/>
  <c r="K125" i="25419" s="1"/>
  <c r="M29" i="16448"/>
  <c r="J125" i="25419" s="1"/>
  <c r="T11" i="473" s="1"/>
  <c r="I80" i="473" s="1"/>
  <c r="K29" i="16448"/>
  <c r="H125" i="25419"/>
  <c r="R11" i="473" s="1"/>
  <c r="G80" i="473" s="1"/>
  <c r="J29" i="16448"/>
  <c r="G125" i="25419"/>
  <c r="Q26" i="473" s="1"/>
  <c r="I29" i="16448"/>
  <c r="F125" i="25419" s="1"/>
  <c r="H29" i="16448"/>
  <c r="E125" i="25419" s="1"/>
  <c r="O26" i="473" s="1"/>
  <c r="S25" i="16448"/>
  <c r="P98" i="25419" s="1"/>
  <c r="R25" i="16448"/>
  <c r="O98" i="25419" s="1"/>
  <c r="Q25" i="16448"/>
  <c r="N98" i="25419" s="1"/>
  <c r="N22" i="16448"/>
  <c r="K95" i="25419"/>
  <c r="M22" i="16448"/>
  <c r="J95" i="25419"/>
  <c r="L22" i="16448"/>
  <c r="I95" i="25419"/>
  <c r="K22" i="16448"/>
  <c r="H95" i="25419"/>
  <c r="J22" i="16448"/>
  <c r="G95" i="25419"/>
  <c r="I20" i="16448"/>
  <c r="F93" i="25419" s="1"/>
  <c r="R24" i="16448"/>
  <c r="O97" i="25419" s="1"/>
  <c r="R23" i="16448"/>
  <c r="O96" i="25419" s="1"/>
  <c r="R22" i="16448"/>
  <c r="O95" i="25419" s="1"/>
  <c r="I22" i="16448"/>
  <c r="F95" i="25419" s="1"/>
  <c r="H22" i="16448"/>
  <c r="S21" i="16448"/>
  <c r="P94" i="25419" s="1"/>
  <c r="R21" i="16448"/>
  <c r="O94" i="25419"/>
  <c r="Q21" i="16448"/>
  <c r="N94" i="25419"/>
  <c r="I21" i="16448"/>
  <c r="F94" i="25419"/>
  <c r="H21" i="16448"/>
  <c r="E94" i="25419"/>
  <c r="H20" i="16448"/>
  <c r="E93" i="25419" s="1"/>
  <c r="R12" i="16448"/>
  <c r="O85" i="25419" s="1"/>
  <c r="R13" i="16448"/>
  <c r="O86" i="25419" s="1"/>
  <c r="O108" i="16448"/>
  <c r="R19" i="16448" s="1"/>
  <c r="O92" i="25419" s="1"/>
  <c r="Q13" i="16448"/>
  <c r="N86" i="25419" s="1"/>
  <c r="O107" i="16448"/>
  <c r="R18" i="16448" s="1"/>
  <c r="O91" i="25419" s="1"/>
  <c r="O106" i="16448"/>
  <c r="R17" i="16448" s="1"/>
  <c r="O90" i="25419" s="1"/>
  <c r="R16" i="16448"/>
  <c r="O89" i="25419"/>
  <c r="S15" i="16448"/>
  <c r="P88" i="25419"/>
  <c r="R15" i="16448"/>
  <c r="O88" i="25419"/>
  <c r="Q15" i="16448"/>
  <c r="N88" i="25419"/>
  <c r="R14" i="16448"/>
  <c r="O87" i="25419"/>
  <c r="P99" i="16448"/>
  <c r="S10" i="16448" s="1"/>
  <c r="P108" i="25419" s="1"/>
  <c r="Z7" i="473" s="1"/>
  <c r="O74" i="473" s="1"/>
  <c r="O99" i="16448"/>
  <c r="R10" i="16448" s="1"/>
  <c r="O108" i="25419" s="1"/>
  <c r="Y7" i="473" s="1"/>
  <c r="N74" i="473" s="1"/>
  <c r="N99" i="16448"/>
  <c r="Q10" i="16448" s="1"/>
  <c r="N108" i="25419" s="1"/>
  <c r="X7" i="473" s="1"/>
  <c r="M74" i="473" s="1"/>
  <c r="M99" i="16448"/>
  <c r="P10" i="16448" s="1"/>
  <c r="M108" i="25419" s="1"/>
  <c r="W7" i="473" s="1"/>
  <c r="L74" i="473" s="1"/>
  <c r="L99" i="16448"/>
  <c r="O10" i="16448" s="1"/>
  <c r="L108" i="25419" s="1"/>
  <c r="V7" i="473" s="1"/>
  <c r="K74" i="473" s="1"/>
  <c r="S9" i="16448"/>
  <c r="P83" i="25419"/>
  <c r="Z6" i="473"/>
  <c r="R9" i="16448"/>
  <c r="O83" i="25419"/>
  <c r="Y6" i="473" s="1"/>
  <c r="Q9" i="16448"/>
  <c r="N83" i="25419"/>
  <c r="X6" i="473" s="1"/>
  <c r="X22" i="473" s="1"/>
  <c r="N116" i="25419" s="1"/>
  <c r="P9" i="16448"/>
  <c r="M83" i="25419" s="1"/>
  <c r="W6" i="473" s="1"/>
  <c r="L73" i="473" s="1"/>
  <c r="O9" i="16448"/>
  <c r="L83" i="25419" s="1"/>
  <c r="V6" i="473" s="1"/>
  <c r="N9" i="16448"/>
  <c r="K83" i="25419"/>
  <c r="U6" i="473" s="1"/>
  <c r="J73" i="473" s="1"/>
  <c r="M9" i="16448"/>
  <c r="J83" i="25419" s="1"/>
  <c r="T6" i="473" s="1"/>
  <c r="T21" i="473" s="1"/>
  <c r="J115" i="25419" s="1"/>
  <c r="L9" i="16448"/>
  <c r="I83" i="25419" s="1"/>
  <c r="S6" i="473" s="1"/>
  <c r="H73" i="473" s="1"/>
  <c r="K9" i="16448"/>
  <c r="H83" i="25419"/>
  <c r="R6" i="473" s="1"/>
  <c r="J9" i="16448"/>
  <c r="G83" i="25419"/>
  <c r="Q6" i="473" s="1"/>
  <c r="I9" i="16448"/>
  <c r="F83" i="25419"/>
  <c r="P6" i="473" s="1"/>
  <c r="H9" i="16448"/>
  <c r="E83" i="25419"/>
  <c r="O6" i="473" s="1"/>
  <c r="S8" i="16448"/>
  <c r="P82" i="25419" s="1"/>
  <c r="Z20" i="473" s="1"/>
  <c r="R8" i="16448"/>
  <c r="O82" i="25419" s="1"/>
  <c r="Q8" i="16448"/>
  <c r="N82" i="25419" s="1"/>
  <c r="X20" i="473" s="1"/>
  <c r="P8" i="16448"/>
  <c r="M82" i="25419" s="1"/>
  <c r="O8" i="16448"/>
  <c r="L82" i="25419"/>
  <c r="V20" i="473" s="1"/>
  <c r="N8" i="16448"/>
  <c r="K82" i="25419"/>
  <c r="U5" i="473" s="1"/>
  <c r="J72" i="473" s="1"/>
  <c r="M8" i="16448"/>
  <c r="J82" i="25419"/>
  <c r="T20" i="473" s="1"/>
  <c r="L8" i="16448"/>
  <c r="I82" i="25419"/>
  <c r="S20" i="473" s="1"/>
  <c r="K8" i="16448"/>
  <c r="H82" i="25419" s="1"/>
  <c r="J8" i="16448"/>
  <c r="G82" i="25419"/>
  <c r="I8" i="16448"/>
  <c r="F82" i="25419" s="1"/>
  <c r="P20" i="473" s="1"/>
  <c r="H8" i="16448"/>
  <c r="E82" i="25419" s="1"/>
  <c r="E95" i="25419"/>
  <c r="P100" i="25419"/>
  <c r="O100" i="25419"/>
  <c r="N100" i="25419"/>
  <c r="M100" i="25419"/>
  <c r="Q14" i="16448"/>
  <c r="N87" i="25419" s="1"/>
  <c r="S14" i="16448"/>
  <c r="P87" i="25419" s="1"/>
  <c r="Q16" i="16448"/>
  <c r="N89" i="25419"/>
  <c r="S16" i="16448"/>
  <c r="P89" i="25419"/>
  <c r="N106" i="16448"/>
  <c r="Q17" i="16448" s="1"/>
  <c r="N90" i="25419" s="1"/>
  <c r="P106" i="16448"/>
  <c r="S17" i="16448" s="1"/>
  <c r="P90" i="25419" s="1"/>
  <c r="N107" i="16448"/>
  <c r="Q18" i="16448"/>
  <c r="N91" i="25419"/>
  <c r="P107" i="16448"/>
  <c r="S18" i="16448" s="1"/>
  <c r="P91" i="25419" s="1"/>
  <c r="N108" i="16448"/>
  <c r="Q19" i="16448"/>
  <c r="N92" i="25419"/>
  <c r="P108" i="16448"/>
  <c r="S19" i="16448"/>
  <c r="P92" i="25419"/>
  <c r="S12" i="16448"/>
  <c r="P85" i="25419" s="1"/>
  <c r="Q20" i="16448"/>
  <c r="N93" i="25419"/>
  <c r="S20" i="16448"/>
  <c r="P93" i="25419" s="1"/>
  <c r="Q22" i="16448"/>
  <c r="N95" i="25419" s="1"/>
  <c r="S22" i="16448"/>
  <c r="P95" i="25419" s="1"/>
  <c r="Q23" i="16448"/>
  <c r="N96" i="25419"/>
  <c r="S23" i="16448"/>
  <c r="P96" i="25419"/>
  <c r="Q24" i="16448"/>
  <c r="N97" i="25419"/>
  <c r="S24" i="16448"/>
  <c r="P97" i="25419"/>
  <c r="O30" i="16448"/>
  <c r="L126" i="25419"/>
  <c r="V12" i="473" s="1"/>
  <c r="L120" i="16448"/>
  <c r="O31" i="16448"/>
  <c r="L127" i="25419" s="1"/>
  <c r="V13" i="473" s="1"/>
  <c r="L124" i="16448"/>
  <c r="O35" i="16448" s="1"/>
  <c r="L130" i="25419" s="1"/>
  <c r="H122" i="16448"/>
  <c r="K33" i="16448" s="1"/>
  <c r="H128" i="25419" s="1"/>
  <c r="G122" i="16448"/>
  <c r="J33" i="16448" s="1"/>
  <c r="G128" i="25419"/>
  <c r="G123" i="16448"/>
  <c r="J34" i="16448" s="1"/>
  <c r="G129" i="25419" s="1"/>
  <c r="E124" i="16448"/>
  <c r="H35" i="16448"/>
  <c r="E130" i="25419"/>
  <c r="F122" i="16448"/>
  <c r="I33" i="16448"/>
  <c r="F128" i="25419"/>
  <c r="F131" i="16448"/>
  <c r="I42" i="16448" s="1"/>
  <c r="F137" i="25419" s="1"/>
  <c r="I30" i="16448"/>
  <c r="F126" i="25419" s="1"/>
  <c r="P12" i="473" s="1"/>
  <c r="G121" i="16448"/>
  <c r="J32" i="16448" s="1"/>
  <c r="G152" i="25419" s="1"/>
  <c r="Q14" i="473" s="1"/>
  <c r="F83" i="473" s="1"/>
  <c r="F120" i="16448"/>
  <c r="I31" i="16448" s="1"/>
  <c r="F127" i="25419" s="1"/>
  <c r="P13" i="473" s="1"/>
  <c r="F121" i="16448"/>
  <c r="I32" i="16448"/>
  <c r="F152" i="25419"/>
  <c r="P14" i="473" s="1"/>
  <c r="E83" i="473" s="1"/>
  <c r="E133" i="16448"/>
  <c r="H44" i="16448"/>
  <c r="E139" i="25419"/>
  <c r="E132" i="16448"/>
  <c r="H43" i="16448"/>
  <c r="E138" i="25419" s="1"/>
  <c r="F133" i="16448"/>
  <c r="I44" i="16448"/>
  <c r="F139" i="25419" s="1"/>
  <c r="F124" i="16448"/>
  <c r="I35" i="16448" s="1"/>
  <c r="F130" i="25419" s="1"/>
  <c r="H30" i="16448"/>
  <c r="E126" i="25419"/>
  <c r="O12" i="473" s="1"/>
  <c r="E120" i="16448"/>
  <c r="H31" i="16448" s="1"/>
  <c r="E127" i="25419" s="1"/>
  <c r="O13" i="473" s="1"/>
  <c r="H120" i="16448"/>
  <c r="K31" i="16448"/>
  <c r="H127" i="25419" s="1"/>
  <c r="R13" i="473" s="1"/>
  <c r="E121" i="16448"/>
  <c r="H32" i="16448" s="1"/>
  <c r="E152" i="25419" s="1"/>
  <c r="O14" i="473" s="1"/>
  <c r="D83" i="473" s="1"/>
  <c r="H123" i="16448"/>
  <c r="K34" i="16448"/>
  <c r="H129" i="25419"/>
  <c r="J123" i="16448"/>
  <c r="M34" i="16448" s="1"/>
  <c r="J129" i="25419" s="1"/>
  <c r="J124" i="16448"/>
  <c r="M35" i="16448" s="1"/>
  <c r="J130" i="25419" s="1"/>
  <c r="E131" i="16448"/>
  <c r="H42" i="16448"/>
  <c r="E137" i="25419"/>
  <c r="E122" i="16448"/>
  <c r="H33" i="16448" s="1"/>
  <c r="E128" i="25419" s="1"/>
  <c r="F132" i="16448"/>
  <c r="I43" i="16448"/>
  <c r="F138" i="25419"/>
  <c r="G120" i="16448"/>
  <c r="J31" i="16448"/>
  <c r="G127" i="25419"/>
  <c r="Q13" i="473" s="1"/>
  <c r="I121" i="16448"/>
  <c r="L32" i="16448" s="1"/>
  <c r="I152" i="25419"/>
  <c r="S14" i="473" s="1"/>
  <c r="H83" i="473" s="1"/>
  <c r="O16" i="16448"/>
  <c r="L89" i="25419"/>
  <c r="P16" i="16448"/>
  <c r="M89" i="25419" s="1"/>
  <c r="M20" i="16448"/>
  <c r="J93" i="25419"/>
  <c r="N21" i="16448"/>
  <c r="K94" i="25419"/>
  <c r="O20" i="16448"/>
  <c r="L93" i="25419"/>
  <c r="L126" i="16448"/>
  <c r="O37" i="16448" s="1"/>
  <c r="L132" i="25419" s="1"/>
  <c r="L127" i="16448"/>
  <c r="O38" i="16448" s="1"/>
  <c r="L133" i="25419" s="1"/>
  <c r="L125" i="16448"/>
  <c r="O36" i="16448" s="1"/>
  <c r="L131" i="25419" s="1"/>
  <c r="L136" i="16448"/>
  <c r="O47" i="16448" s="1"/>
  <c r="L142" i="25419" s="1"/>
  <c r="L134" i="16448"/>
  <c r="O45" i="16448" s="1"/>
  <c r="L140" i="25419" s="1"/>
  <c r="L135" i="16448"/>
  <c r="O46" i="16448" s="1"/>
  <c r="L141" i="25419" s="1"/>
  <c r="H129" i="16448"/>
  <c r="K40" i="16448" s="1"/>
  <c r="H135" i="25419" s="1"/>
  <c r="H130" i="16448"/>
  <c r="K41" i="16448" s="1"/>
  <c r="H136" i="25419" s="1"/>
  <c r="H126" i="16448"/>
  <c r="K37" i="16448" s="1"/>
  <c r="H132" i="25419" s="1"/>
  <c r="H128" i="16448"/>
  <c r="K39" i="16448" s="1"/>
  <c r="H134" i="25419" s="1"/>
  <c r="G127" i="16448"/>
  <c r="J38" i="16448" s="1"/>
  <c r="G133" i="25419" s="1"/>
  <c r="G126" i="16448"/>
  <c r="J37" i="16448" s="1"/>
  <c r="G132" i="25419" s="1"/>
  <c r="G128" i="16448"/>
  <c r="J39" i="16448" s="1"/>
  <c r="G134" i="25419" s="1"/>
  <c r="G129" i="16448"/>
  <c r="J40" i="16448" s="1"/>
  <c r="G135" i="25419" s="1"/>
  <c r="G125" i="16448"/>
  <c r="J36" i="16448" s="1"/>
  <c r="G131" i="25419" s="1"/>
  <c r="G136" i="16448"/>
  <c r="J47" i="16448" s="1"/>
  <c r="G142" i="25419" s="1"/>
  <c r="G130" i="16448"/>
  <c r="J41" i="16448" s="1"/>
  <c r="G136" i="25419" s="1"/>
  <c r="G135" i="16448"/>
  <c r="G134" i="16448"/>
  <c r="F128" i="16448"/>
  <c r="F126" i="16448"/>
  <c r="F129" i="16448"/>
  <c r="F125" i="16448"/>
  <c r="F127" i="16448"/>
  <c r="E125" i="16448"/>
  <c r="E126" i="16448"/>
  <c r="E130" i="16448"/>
  <c r="H41" i="16448" s="1"/>
  <c r="E136" i="25419" s="1"/>
  <c r="E128" i="16448"/>
  <c r="E127" i="16448"/>
  <c r="H38" i="16448" s="1"/>
  <c r="E133" i="25419" s="1"/>
  <c r="E134" i="16448"/>
  <c r="H45" i="16448" s="1"/>
  <c r="E140" i="25419" s="1"/>
  <c r="E136" i="16448"/>
  <c r="H47" i="16448" s="1"/>
  <c r="E142" i="25419" s="1"/>
  <c r="E135" i="16448"/>
  <c r="H46" i="16448" s="1"/>
  <c r="E141" i="25419" s="1"/>
  <c r="F134" i="16448"/>
  <c r="I45" i="16448" s="1"/>
  <c r="F140" i="25419" s="1"/>
  <c r="H135" i="16448"/>
  <c r="K46" i="16448" s="1"/>
  <c r="H141" i="25419" s="1"/>
  <c r="H136" i="16448"/>
  <c r="K47" i="16448" s="1"/>
  <c r="H142" i="25419" s="1"/>
  <c r="H134" i="16448"/>
  <c r="K45" i="16448" s="1"/>
  <c r="H140" i="25419" s="1"/>
  <c r="J135" i="16448"/>
  <c r="M46" i="16448" s="1"/>
  <c r="J141" i="25419" s="1"/>
  <c r="K136" i="16448"/>
  <c r="N47" i="16448" s="1"/>
  <c r="K142" i="25419" s="1"/>
  <c r="K134" i="16448"/>
  <c r="N45" i="16448" s="1"/>
  <c r="K140" i="25419" s="1"/>
  <c r="O22" i="16448"/>
  <c r="L95" i="25419" s="1"/>
  <c r="M21" i="16448"/>
  <c r="J94" i="25419" s="1"/>
  <c r="J21" i="16448"/>
  <c r="G94" i="25419" s="1"/>
  <c r="K21" i="16448"/>
  <c r="H94" i="25419" s="1"/>
  <c r="L21" i="16448"/>
  <c r="I94" i="25419" s="1"/>
  <c r="P22" i="16448"/>
  <c r="M95" i="25419"/>
  <c r="K20" i="16448"/>
  <c r="H93" i="25419" s="1"/>
  <c r="V5" i="473"/>
  <c r="K72" i="473" s="1"/>
  <c r="X5" i="473"/>
  <c r="M72" i="473" s="1"/>
  <c r="R20" i="16448"/>
  <c r="O93" i="25419" s="1"/>
  <c r="J20" i="16448"/>
  <c r="G93" i="25419" s="1"/>
  <c r="O21" i="16448"/>
  <c r="L94" i="25419" s="1"/>
  <c r="P20" i="16448"/>
  <c r="M93" i="25419" s="1"/>
  <c r="I38" i="16448"/>
  <c r="F133" i="25419"/>
  <c r="I39" i="16448"/>
  <c r="F134" i="25419" s="1"/>
  <c r="I40" i="16448"/>
  <c r="F135" i="25419" s="1"/>
  <c r="H36" i="16448"/>
  <c r="E131" i="25419"/>
  <c r="I37" i="16448"/>
  <c r="F132" i="25419" s="1"/>
  <c r="I36" i="16448"/>
  <c r="F131" i="25419"/>
  <c r="J46" i="16448"/>
  <c r="G141" i="25419"/>
  <c r="J45" i="16448"/>
  <c r="G140" i="25419" s="1"/>
  <c r="H39" i="16448"/>
  <c r="E134" i="25419" s="1"/>
  <c r="H37" i="16448"/>
  <c r="E132" i="25419"/>
  <c r="Z21" i="473"/>
  <c r="P115" i="25419" s="1"/>
  <c r="O73" i="473"/>
  <c r="Z22" i="473"/>
  <c r="P116" i="25419" s="1"/>
  <c r="L20" i="16448"/>
  <c r="I93" i="25419" s="1"/>
  <c r="L130" i="16448"/>
  <c r="O41" i="16448" s="1"/>
  <c r="L136" i="25419" s="1"/>
  <c r="L129" i="16448"/>
  <c r="O40" i="16448" s="1"/>
  <c r="L135" i="25419" s="1"/>
  <c r="L128" i="16448"/>
  <c r="O39" i="16448" s="1"/>
  <c r="L134" i="25419" s="1"/>
  <c r="K129" i="16448"/>
  <c r="N40" i="16448" s="1"/>
  <c r="K135" i="25419" s="1"/>
  <c r="K130" i="16448"/>
  <c r="N41" i="16448" s="1"/>
  <c r="K136" i="25419" s="1"/>
  <c r="K128" i="16448"/>
  <c r="N39" i="16448" s="1"/>
  <c r="K134" i="25419" s="1"/>
  <c r="J130" i="16448"/>
  <c r="M41" i="16448" s="1"/>
  <c r="J136" i="25419" s="1"/>
  <c r="J128" i="16448"/>
  <c r="M39" i="16448" s="1"/>
  <c r="J134" i="25419" s="1"/>
  <c r="J129" i="16448"/>
  <c r="M40" i="16448" s="1"/>
  <c r="J135" i="25419" s="1"/>
  <c r="I128" i="16448"/>
  <c r="L39" i="16448" s="1"/>
  <c r="I134" i="25419" s="1"/>
  <c r="I134" i="16448"/>
  <c r="L45" i="16448" s="1"/>
  <c r="I140" i="25419" s="1"/>
  <c r="I136" i="16448"/>
  <c r="L47" i="16448" s="1"/>
  <c r="I142" i="25419" s="1"/>
  <c r="I130" i="16448"/>
  <c r="L41" i="16448" s="1"/>
  <c r="I136" i="25419" s="1"/>
  <c r="I129" i="16448"/>
  <c r="L40" i="16448" s="1"/>
  <c r="I135" i="25419" s="1"/>
  <c r="I135" i="16448"/>
  <c r="L46" i="16448" s="1"/>
  <c r="I141" i="25419" s="1"/>
  <c r="F136" i="16448"/>
  <c r="I47" i="16448" s="1"/>
  <c r="F142" i="25419" s="1"/>
  <c r="F130" i="16448"/>
  <c r="I41" i="16448" s="1"/>
  <c r="F136" i="25419" s="1"/>
  <c r="F135" i="16448"/>
  <c r="E129" i="16448"/>
  <c r="H40" i="16448"/>
  <c r="E135" i="25419" s="1"/>
  <c r="I46" i="16448"/>
  <c r="F141" i="25419"/>
  <c r="O23" i="16448"/>
  <c r="L96" i="25419"/>
  <c r="O24" i="16448"/>
  <c r="L97" i="25419"/>
  <c r="O25" i="16448"/>
  <c r="L98" i="25419" s="1"/>
  <c r="P15" i="16448"/>
  <c r="M88" i="25419" s="1"/>
  <c r="O11" i="16448"/>
  <c r="L84" i="25419" s="1"/>
  <c r="O14" i="16448"/>
  <c r="L87" i="25419" s="1"/>
  <c r="O13" i="16448"/>
  <c r="L86" i="25419" s="1"/>
  <c r="O15" i="16448"/>
  <c r="L88" i="25419" s="1"/>
  <c r="N20" i="16448"/>
  <c r="K93" i="25419"/>
  <c r="L24" i="16448"/>
  <c r="I97" i="25419"/>
  <c r="H25" i="16448"/>
  <c r="E98" i="25419"/>
  <c r="I24" i="16448"/>
  <c r="F97" i="25419" s="1"/>
  <c r="I23" i="16448"/>
  <c r="F96" i="25419"/>
  <c r="K24" i="16448"/>
  <c r="H97" i="25419"/>
  <c r="M24" i="16448"/>
  <c r="J97" i="25419"/>
  <c r="M23" i="16448"/>
  <c r="J96" i="25419" s="1"/>
  <c r="H24" i="16448"/>
  <c r="E97" i="25419" s="1"/>
  <c r="J23" i="16448"/>
  <c r="G96" i="25419" s="1"/>
  <c r="J25" i="16448"/>
  <c r="G98" i="25419"/>
  <c r="L23" i="16448"/>
  <c r="I96" i="25419"/>
  <c r="L25" i="16448"/>
  <c r="I98" i="25419"/>
  <c r="N24" i="16448"/>
  <c r="K97" i="25419"/>
  <c r="H23" i="16448"/>
  <c r="E96" i="25419"/>
  <c r="J24" i="16448"/>
  <c r="G97" i="25419"/>
  <c r="K23" i="16448"/>
  <c r="H96" i="25419"/>
  <c r="M14" i="16448"/>
  <c r="J87" i="25419" s="1"/>
  <c r="H15" i="16448"/>
  <c r="E88" i="25419"/>
  <c r="K15" i="16448"/>
  <c r="H88" i="25419"/>
  <c r="M15" i="16448"/>
  <c r="J88" i="25419"/>
  <c r="H16" i="16448"/>
  <c r="E89" i="25419"/>
  <c r="J15" i="16448"/>
  <c r="G88" i="25419" s="1"/>
  <c r="L15" i="16448"/>
  <c r="I88" i="25419"/>
  <c r="H14" i="16448"/>
  <c r="E87" i="25419"/>
  <c r="I15" i="16448"/>
  <c r="F88" i="25419"/>
  <c r="J16" i="16448"/>
  <c r="G89" i="25419"/>
  <c r="K16" i="16448"/>
  <c r="H89" i="25419" s="1"/>
  <c r="L16" i="16448"/>
  <c r="I89" i="25419" s="1"/>
  <c r="M16" i="16448"/>
  <c r="J89" i="25419" s="1"/>
  <c r="I14" i="16448"/>
  <c r="F87" i="25419"/>
  <c r="N23" i="16448"/>
  <c r="K96" i="25419" s="1"/>
  <c r="N25" i="16448"/>
  <c r="K98" i="25419" s="1"/>
  <c r="N15" i="16448"/>
  <c r="K88" i="25419" s="1"/>
  <c r="N14" i="16448"/>
  <c r="K87" i="25419"/>
  <c r="N16" i="16448"/>
  <c r="K89" i="25419"/>
  <c r="K99" i="16448"/>
  <c r="N10" i="16448"/>
  <c r="K108" i="25419"/>
  <c r="U7" i="473" s="1"/>
  <c r="J74" i="473" s="1"/>
  <c r="P21" i="16448"/>
  <c r="M94" i="25419"/>
  <c r="L108" i="16448"/>
  <c r="O19" i="16448" s="1"/>
  <c r="L92" i="25419" s="1"/>
  <c r="L107" i="16448"/>
  <c r="L106" i="16448"/>
  <c r="K106" i="16448"/>
  <c r="N17" i="16448" s="1"/>
  <c r="K90" i="25419" s="1"/>
  <c r="K107" i="16448"/>
  <c r="N18" i="16448" s="1"/>
  <c r="K91" i="25419" s="1"/>
  <c r="K108" i="16448"/>
  <c r="N19" i="16448" s="1"/>
  <c r="K92" i="25419" s="1"/>
  <c r="I25" i="16448"/>
  <c r="F98" i="25419"/>
  <c r="K25" i="16448"/>
  <c r="H98" i="25419" s="1"/>
  <c r="M25" i="16448"/>
  <c r="J98" i="25419" s="1"/>
  <c r="P25" i="16448"/>
  <c r="M98" i="25419"/>
  <c r="P23" i="16448"/>
  <c r="M96" i="25419"/>
  <c r="P24" i="16448"/>
  <c r="M97" i="25419"/>
  <c r="O17" i="16448"/>
  <c r="L90" i="25419" s="1"/>
  <c r="O18" i="16448"/>
  <c r="L91" i="25419"/>
  <c r="P14" i="16448"/>
  <c r="M87" i="25419" s="1"/>
  <c r="P13" i="16448"/>
  <c r="M86" i="25419" s="1"/>
  <c r="M108" i="16448"/>
  <c r="P19" i="16448" s="1"/>
  <c r="M92" i="25419" s="1"/>
  <c r="M107" i="16448"/>
  <c r="M106" i="16448"/>
  <c r="P17" i="16448" s="1"/>
  <c r="M90" i="25419" s="1"/>
  <c r="P18" i="16448"/>
  <c r="M91" i="25419" s="1"/>
  <c r="E101" i="16448"/>
  <c r="G100" i="16448"/>
  <c r="G101" i="16448"/>
  <c r="H102" i="16448"/>
  <c r="J101" i="16448"/>
  <c r="F102" i="16448"/>
  <c r="G102" i="16448"/>
  <c r="I101" i="16448"/>
  <c r="E100" i="16448"/>
  <c r="F101" i="16448"/>
  <c r="H100" i="16448"/>
  <c r="J102" i="16448"/>
  <c r="I100" i="16448"/>
  <c r="J100" i="16448"/>
  <c r="I102" i="16448"/>
  <c r="E102" i="16448"/>
  <c r="H101" i="16448"/>
  <c r="F100" i="16448"/>
  <c r="AH153" i="473" l="1"/>
  <c r="AH203" i="473"/>
  <c r="AH162" i="473"/>
  <c r="AH177" i="473"/>
  <c r="AH155" i="473"/>
  <c r="AH154" i="473"/>
  <c r="AH218" i="473"/>
  <c r="S84" i="473"/>
  <c r="T5" i="473"/>
  <c r="I72" i="473" s="1"/>
  <c r="U20" i="473"/>
  <c r="R26" i="473"/>
  <c r="V26" i="473"/>
  <c r="O31" i="473"/>
  <c r="E167" i="25419" s="1"/>
  <c r="O29" i="473"/>
  <c r="E160" i="25419" s="1"/>
  <c r="O32" i="473"/>
  <c r="E168" i="25419" s="1"/>
  <c r="D81" i="473"/>
  <c r="D82" i="473" s="1"/>
  <c r="O28" i="473"/>
  <c r="E159" i="25419" s="1"/>
  <c r="Z5" i="473"/>
  <c r="O72" i="473" s="1"/>
  <c r="P5" i="473"/>
  <c r="E72" i="473" s="1"/>
  <c r="S21" i="473"/>
  <c r="I115" i="25419" s="1"/>
  <c r="R22" i="473"/>
  <c r="H116" i="25419" s="1"/>
  <c r="G73" i="473"/>
  <c r="R21" i="473"/>
  <c r="H115" i="25419" s="1"/>
  <c r="N73" i="473"/>
  <c r="Y21" i="473"/>
  <c r="O115" i="25419" s="1"/>
  <c r="Y22" i="473"/>
  <c r="O116" i="25419" s="1"/>
  <c r="Q21" i="473"/>
  <c r="G115" i="25419" s="1"/>
  <c r="F73" i="473"/>
  <c r="Q22" i="473"/>
  <c r="G116" i="25419" s="1"/>
  <c r="S22" i="473"/>
  <c r="I116" i="25419" s="1"/>
  <c r="U21" i="473"/>
  <c r="K115" i="25419" s="1"/>
  <c r="T26" i="473"/>
  <c r="U22" i="473"/>
  <c r="K116" i="25419" s="1"/>
  <c r="T22" i="473"/>
  <c r="J116" i="25419" s="1"/>
  <c r="O11" i="473"/>
  <c r="D80" i="473" s="1"/>
  <c r="I11" i="16448"/>
  <c r="F84" i="25419" s="1"/>
  <c r="K12" i="16448"/>
  <c r="H85" i="25419" s="1"/>
  <c r="H13" i="16448"/>
  <c r="E86" i="25419" s="1"/>
  <c r="L13" i="16448"/>
  <c r="I86" i="25419" s="1"/>
  <c r="M11" i="16448"/>
  <c r="J84" i="25419" s="1"/>
  <c r="L11" i="16448"/>
  <c r="I84" i="25419" s="1"/>
  <c r="M13" i="16448"/>
  <c r="J86" i="25419" s="1"/>
  <c r="K11" i="16448"/>
  <c r="H84" i="25419" s="1"/>
  <c r="I12" i="16448"/>
  <c r="F85" i="25419" s="1"/>
  <c r="H11" i="16448"/>
  <c r="E84" i="25419" s="1"/>
  <c r="L12" i="16448"/>
  <c r="I85" i="25419" s="1"/>
  <c r="J13" i="16448"/>
  <c r="G86" i="25419" s="1"/>
  <c r="I13" i="16448"/>
  <c r="F86" i="25419" s="1"/>
  <c r="M12" i="16448"/>
  <c r="J85" i="25419" s="1"/>
  <c r="K13" i="16448"/>
  <c r="H86" i="25419" s="1"/>
  <c r="J12" i="16448"/>
  <c r="G85" i="25419" s="1"/>
  <c r="J11" i="16448"/>
  <c r="G84" i="25419" s="1"/>
  <c r="H12" i="16448"/>
  <c r="E85" i="25419" s="1"/>
  <c r="P26" i="473"/>
  <c r="P11" i="473"/>
  <c r="E80" i="473" s="1"/>
  <c r="O22" i="473"/>
  <c r="E116" i="25419" s="1"/>
  <c r="D73" i="473"/>
  <c r="O21" i="473"/>
  <c r="E115" i="25419" s="1"/>
  <c r="P21" i="473"/>
  <c r="F115" i="25419" s="1"/>
  <c r="E73" i="473"/>
  <c r="P22" i="473"/>
  <c r="F116" i="25419" s="1"/>
  <c r="T32" i="473"/>
  <c r="J168" i="25419" s="1"/>
  <c r="I81" i="473"/>
  <c r="I82" i="473" s="1"/>
  <c r="T29" i="473"/>
  <c r="J160" i="25419" s="1"/>
  <c r="T28" i="473"/>
  <c r="J159" i="25419" s="1"/>
  <c r="T31" i="473"/>
  <c r="J167" i="25419" s="1"/>
  <c r="K81" i="473"/>
  <c r="K82" i="473" s="1"/>
  <c r="V29" i="473"/>
  <c r="L160" i="25419" s="1"/>
  <c r="V31" i="473"/>
  <c r="L167" i="25419" s="1"/>
  <c r="V28" i="473"/>
  <c r="L159" i="25419" s="1"/>
  <c r="V32" i="473"/>
  <c r="L168" i="25419" s="1"/>
  <c r="R20" i="473"/>
  <c r="R5" i="473"/>
  <c r="G72" i="473" s="1"/>
  <c r="V21" i="473"/>
  <c r="L115" i="25419" s="1"/>
  <c r="V22" i="473"/>
  <c r="L116" i="25419" s="1"/>
  <c r="K73" i="473"/>
  <c r="P28" i="473"/>
  <c r="F159" i="25419" s="1"/>
  <c r="E81" i="473"/>
  <c r="E82" i="473" s="1"/>
  <c r="P29" i="473"/>
  <c r="F160" i="25419" s="1"/>
  <c r="P31" i="473"/>
  <c r="F167" i="25419" s="1"/>
  <c r="P32" i="473"/>
  <c r="F168" i="25419" s="1"/>
  <c r="Q11" i="473"/>
  <c r="F80" i="473" s="1"/>
  <c r="S5" i="473"/>
  <c r="H72" i="473" s="1"/>
  <c r="S11" i="473"/>
  <c r="H80" i="473" s="1"/>
  <c r="S26" i="473"/>
  <c r="AH182" i="473"/>
  <c r="W20" i="473"/>
  <c r="W5" i="473"/>
  <c r="L72" i="473" s="1"/>
  <c r="W22" i="473"/>
  <c r="M116" i="25419" s="1"/>
  <c r="W21" i="473"/>
  <c r="M115" i="25419" s="1"/>
  <c r="AH183" i="473"/>
  <c r="M73" i="473"/>
  <c r="U26" i="473"/>
  <c r="U11" i="473"/>
  <c r="J80" i="473" s="1"/>
  <c r="AH184" i="473"/>
  <c r="I132" i="16448"/>
  <c r="L43" i="16448" s="1"/>
  <c r="I138" i="25419" s="1"/>
  <c r="L30" i="16448"/>
  <c r="I126" i="25419" s="1"/>
  <c r="S12" i="473" s="1"/>
  <c r="I126" i="16448"/>
  <c r="L37" i="16448" s="1"/>
  <c r="I132" i="25419" s="1"/>
  <c r="I122" i="16448"/>
  <c r="L33" i="16448" s="1"/>
  <c r="I128" i="25419" s="1"/>
  <c r="I124" i="16448"/>
  <c r="L35" i="16448" s="1"/>
  <c r="I130" i="25419" s="1"/>
  <c r="I125" i="16448"/>
  <c r="L36" i="16448" s="1"/>
  <c r="I131" i="25419" s="1"/>
  <c r="I133" i="16448"/>
  <c r="L44" i="16448" s="1"/>
  <c r="I139" i="25419" s="1"/>
  <c r="I131" i="16448"/>
  <c r="L42" i="16448" s="1"/>
  <c r="I137" i="25419" s="1"/>
  <c r="I127" i="16448"/>
  <c r="L38" i="16448" s="1"/>
  <c r="I133" i="25419" s="1"/>
  <c r="AH156" i="473"/>
  <c r="AH187" i="473"/>
  <c r="Y5" i="473"/>
  <c r="N72" i="473" s="1"/>
  <c r="Y20" i="473"/>
  <c r="J132" i="16448"/>
  <c r="M43" i="16448" s="1"/>
  <c r="J138" i="25419" s="1"/>
  <c r="J127" i="16448"/>
  <c r="M38" i="16448" s="1"/>
  <c r="J133" i="25419" s="1"/>
  <c r="J121" i="16448"/>
  <c r="M32" i="16448" s="1"/>
  <c r="J152" i="25419" s="1"/>
  <c r="T14" i="473" s="1"/>
  <c r="I83" i="473" s="1"/>
  <c r="J125" i="16448"/>
  <c r="M36" i="16448" s="1"/>
  <c r="J131" i="25419" s="1"/>
  <c r="J134" i="16448"/>
  <c r="M45" i="16448" s="1"/>
  <c r="J140" i="25419" s="1"/>
  <c r="J126" i="16448"/>
  <c r="M37" i="16448" s="1"/>
  <c r="J132" i="25419" s="1"/>
  <c r="J122" i="16448"/>
  <c r="M33" i="16448" s="1"/>
  <c r="J128" i="25419" s="1"/>
  <c r="J136" i="16448"/>
  <c r="M47" i="16448" s="1"/>
  <c r="J142" i="25419" s="1"/>
  <c r="J120" i="16448"/>
  <c r="M31" i="16448" s="1"/>
  <c r="J127" i="25419" s="1"/>
  <c r="T13" i="473" s="1"/>
  <c r="J133" i="16448"/>
  <c r="M44" i="16448" s="1"/>
  <c r="J139" i="25419" s="1"/>
  <c r="J131" i="16448"/>
  <c r="M42" i="16448" s="1"/>
  <c r="J137" i="25419" s="1"/>
  <c r="AH157" i="473"/>
  <c r="AH164" i="473"/>
  <c r="I73" i="473"/>
  <c r="I120" i="16448"/>
  <c r="L31" i="16448" s="1"/>
  <c r="I127" i="25419" s="1"/>
  <c r="S13" i="473" s="1"/>
  <c r="I99" i="16448"/>
  <c r="L10" i="16448" s="1"/>
  <c r="I108" i="25419" s="1"/>
  <c r="S7" i="473" s="1"/>
  <c r="H74" i="473" s="1"/>
  <c r="G99" i="16448"/>
  <c r="J10" i="16448" s="1"/>
  <c r="G108" i="25419" s="1"/>
  <c r="Q7" i="473" s="1"/>
  <c r="F74" i="473" s="1"/>
  <c r="AH178" i="473"/>
  <c r="X21" i="473"/>
  <c r="N115" i="25419" s="1"/>
  <c r="O5" i="473"/>
  <c r="D72" i="473" s="1"/>
  <c r="O20" i="473"/>
  <c r="AH179" i="473"/>
  <c r="AH180" i="473"/>
  <c r="Q5" i="473"/>
  <c r="F72" i="473" s="1"/>
  <c r="Q20" i="473"/>
  <c r="AH181" i="473"/>
  <c r="AH202" i="473"/>
  <c r="AH216" i="473"/>
  <c r="AH217" i="473"/>
  <c r="AH158" i="473"/>
  <c r="AH207" i="473"/>
  <c r="AH208" i="473"/>
  <c r="K133" i="16448"/>
  <c r="N44" i="16448" s="1"/>
  <c r="K139" i="25419" s="1"/>
  <c r="AH161" i="473"/>
  <c r="K127" i="16448"/>
  <c r="N38" i="16448" s="1"/>
  <c r="K133" i="25419" s="1"/>
  <c r="L122" i="16448"/>
  <c r="O33" i="16448" s="1"/>
  <c r="L128" i="25419" s="1"/>
  <c r="L121" i="16448"/>
  <c r="O32" i="16448" s="1"/>
  <c r="L152" i="25419" s="1"/>
  <c r="V14" i="473" s="1"/>
  <c r="K83" i="473" s="1"/>
  <c r="H121" i="16448"/>
  <c r="K32" i="16448" s="1"/>
  <c r="H152" i="25419" s="1"/>
  <c r="R14" i="473" s="1"/>
  <c r="G83" i="473" s="1"/>
  <c r="AH147" i="473"/>
  <c r="AH171" i="473"/>
  <c r="AH195" i="473"/>
  <c r="AH185" i="473"/>
  <c r="K126" i="16448"/>
  <c r="N37" i="16448" s="1"/>
  <c r="K132" i="25419" s="1"/>
  <c r="H132" i="16448"/>
  <c r="K43" i="16448" s="1"/>
  <c r="H138" i="25419" s="1"/>
  <c r="F99" i="16448"/>
  <c r="I10" i="16448" s="1"/>
  <c r="F108" i="25419" s="1"/>
  <c r="P7" i="473" s="1"/>
  <c r="E74" i="473" s="1"/>
  <c r="H124" i="16448"/>
  <c r="K35" i="16448" s="1"/>
  <c r="H130" i="25419" s="1"/>
  <c r="AH148" i="473"/>
  <c r="AH172" i="473"/>
  <c r="AH196" i="473"/>
  <c r="K131" i="16448"/>
  <c r="N42" i="16448" s="1"/>
  <c r="K137" i="25419" s="1"/>
  <c r="K125" i="16448"/>
  <c r="N36" i="16448" s="1"/>
  <c r="K131" i="25419" s="1"/>
  <c r="K120" i="16448"/>
  <c r="N31" i="16448" s="1"/>
  <c r="K127" i="25419" s="1"/>
  <c r="U13" i="473" s="1"/>
  <c r="AH149" i="473"/>
  <c r="AH173" i="473"/>
  <c r="AH197" i="473"/>
  <c r="AH150" i="473"/>
  <c r="AH174" i="473"/>
  <c r="AH198" i="473"/>
  <c r="K124" i="16448"/>
  <c r="N35" i="16448" s="1"/>
  <c r="K130" i="25419" s="1"/>
  <c r="AH151" i="473"/>
  <c r="AH175" i="473"/>
  <c r="AH199" i="473"/>
  <c r="AH152" i="473"/>
  <c r="AH176" i="473"/>
  <c r="AH200" i="473"/>
  <c r="AH201" i="473"/>
  <c r="AH204" i="473"/>
  <c r="AH205" i="473"/>
  <c r="AH206" i="473"/>
  <c r="N30" i="16448"/>
  <c r="K126" i="25419" s="1"/>
  <c r="U12" i="473" s="1"/>
  <c r="L133" i="16448"/>
  <c r="O44" i="16448" s="1"/>
  <c r="L139" i="25419" s="1"/>
  <c r="AH163" i="473"/>
  <c r="AH188" i="473"/>
  <c r="AH165" i="473"/>
  <c r="AH189" i="473"/>
  <c r="AH213" i="473"/>
  <c r="AH209" i="473"/>
  <c r="AH210" i="473"/>
  <c r="K121" i="16448"/>
  <c r="N32" i="16448" s="1"/>
  <c r="K152" i="25419" s="1"/>
  <c r="U14" i="473" s="1"/>
  <c r="J83" i="473" s="1"/>
  <c r="AH212" i="473"/>
  <c r="J30" i="16448"/>
  <c r="G126" i="25419" s="1"/>
  <c r="Q12" i="473" s="1"/>
  <c r="K132" i="16448"/>
  <c r="N43" i="16448" s="1"/>
  <c r="K138" i="25419" s="1"/>
  <c r="H99" i="16448"/>
  <c r="K10" i="16448" s="1"/>
  <c r="H108" i="25419" s="1"/>
  <c r="R7" i="473" s="1"/>
  <c r="G74" i="473" s="1"/>
  <c r="AH166" i="473"/>
  <c r="AH190" i="473"/>
  <c r="AH214" i="473"/>
  <c r="AH186" i="473"/>
  <c r="AH211" i="473"/>
  <c r="AH167" i="473"/>
  <c r="AH191" i="473"/>
  <c r="AH215" i="473"/>
  <c r="AH159" i="473"/>
  <c r="H127" i="16448"/>
  <c r="K38" i="16448" s="1"/>
  <c r="H133" i="25419" s="1"/>
  <c r="AH168" i="473"/>
  <c r="AH192" i="473"/>
  <c r="AH160" i="473"/>
  <c r="K30" i="16448"/>
  <c r="H126" i="25419" s="1"/>
  <c r="R12" i="473" s="1"/>
  <c r="G124" i="16448"/>
  <c r="J35" i="16448" s="1"/>
  <c r="G130" i="25419" s="1"/>
  <c r="K123" i="16448"/>
  <c r="N34" i="16448" s="1"/>
  <c r="K129" i="25419" s="1"/>
  <c r="AH169" i="473"/>
  <c r="AH193" i="473"/>
  <c r="K122" i="16448"/>
  <c r="N33" i="16448" s="1"/>
  <c r="K128" i="25419" s="1"/>
  <c r="G132" i="16448"/>
  <c r="J43" i="16448" s="1"/>
  <c r="G138" i="25419" s="1"/>
  <c r="AH170" i="473"/>
  <c r="AH194" i="473"/>
  <c r="F107" i="16448"/>
  <c r="E106" i="16448"/>
  <c r="F108" i="16448"/>
  <c r="E108" i="16448"/>
  <c r="F106" i="16448"/>
  <c r="G106" i="16448"/>
  <c r="J108" i="16448"/>
  <c r="G107" i="16448"/>
  <c r="J106" i="16448"/>
  <c r="J107" i="16448"/>
  <c r="G108" i="16448"/>
  <c r="E107" i="16448"/>
  <c r="I107" i="16448"/>
  <c r="I108" i="16448"/>
  <c r="I106" i="16448"/>
  <c r="H106" i="16448"/>
  <c r="H107" i="16448"/>
  <c r="H108" i="16448"/>
  <c r="K19" i="16448" l="1"/>
  <c r="H92" i="25419" s="1"/>
  <c r="K18" i="16448"/>
  <c r="H91" i="25419" s="1"/>
  <c r="K17" i="16448"/>
  <c r="H90" i="25419" s="1"/>
  <c r="L17" i="16448"/>
  <c r="I90" i="25419" s="1"/>
  <c r="L19" i="16448"/>
  <c r="I92" i="25419" s="1"/>
  <c r="L18" i="16448"/>
  <c r="I91" i="25419" s="1"/>
  <c r="H18" i="16448"/>
  <c r="E91" i="25419" s="1"/>
  <c r="J19" i="16448"/>
  <c r="G92" i="25419" s="1"/>
  <c r="M18" i="16448"/>
  <c r="J91" i="25419" s="1"/>
  <c r="M17" i="16448"/>
  <c r="J90" i="25419" s="1"/>
  <c r="J18" i="16448"/>
  <c r="G91" i="25419" s="1"/>
  <c r="M19" i="16448"/>
  <c r="J92" i="25419" s="1"/>
  <c r="J17" i="16448"/>
  <c r="G90" i="25419" s="1"/>
  <c r="I17" i="16448"/>
  <c r="F90" i="25419" s="1"/>
  <c r="H19" i="16448"/>
  <c r="E92" i="25419" s="1"/>
  <c r="I19" i="16448"/>
  <c r="F92" i="25419" s="1"/>
  <c r="H17" i="16448"/>
  <c r="E90" i="25419" s="1"/>
  <c r="I18" i="16448"/>
  <c r="F91" i="25419" s="1"/>
  <c r="U32" i="473"/>
  <c r="K168" i="25419" s="1"/>
  <c r="U31" i="473"/>
  <c r="K167" i="25419" s="1"/>
  <c r="J81" i="473"/>
  <c r="J82" i="473" s="1"/>
  <c r="U29" i="473"/>
  <c r="K160" i="25419" s="1"/>
  <c r="U28" i="473"/>
  <c r="K159" i="25419" s="1"/>
  <c r="H81" i="473"/>
  <c r="H82" i="473" s="1"/>
  <c r="S32" i="473"/>
  <c r="I168" i="25419" s="1"/>
  <c r="S28" i="473"/>
  <c r="I159" i="25419" s="1"/>
  <c r="S31" i="473"/>
  <c r="I167" i="25419" s="1"/>
  <c r="S29" i="473"/>
  <c r="I160" i="25419" s="1"/>
  <c r="R28" i="473"/>
  <c r="H159" i="25419" s="1"/>
  <c r="G81" i="473"/>
  <c r="G82" i="473" s="1"/>
  <c r="R29" i="473"/>
  <c r="H160" i="25419" s="1"/>
  <c r="R32" i="473"/>
  <c r="H168" i="25419" s="1"/>
  <c r="R31" i="473"/>
  <c r="H167" i="25419" s="1"/>
  <c r="Q31" i="473"/>
  <c r="G167" i="25419" s="1"/>
  <c r="F81" i="473"/>
  <c r="F82" i="473" s="1"/>
  <c r="Q28" i="473"/>
  <c r="G159" i="25419" s="1"/>
  <c r="Q32" i="473"/>
  <c r="G168" i="25419" s="1"/>
  <c r="Q29" i="473"/>
  <c r="G160" i="25419" s="1"/>
</calcChain>
</file>

<file path=xl/comments1.xml><?xml version="1.0" encoding="utf-8"?>
<comments xmlns="http://schemas.openxmlformats.org/spreadsheetml/2006/main">
  <authors>
    <author>Charles M Swenson</author>
    <author>The Aerospace Corporation</author>
  </authors>
  <commentList>
    <comment ref="M4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This Cell Must Be Named
"Model_Body_Surfaces"
to be read by Macro
"Read_Body_Surfaces"
</t>
        </r>
      </text>
    </comment>
    <comment ref="M10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This Cell Must Be Named
"Model_Panel_Surfaces"
to be read by Macro
"Read_Panel_Surfaces"</t>
        </r>
      </text>
    </comment>
    <comment ref="M19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This Cell Must Be Named
"Model_Body_Surfaces"
to be read by Macro
"Read_Body_Surfaces"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This Cell Must Be Named
"Model_Panel_Surfaces"
to be read by Macro
"Read_Panel_Surfaces"</t>
        </r>
      </text>
    </comment>
    <comment ref="D44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This Cell must be name "</t>
        </r>
        <r>
          <rPr>
            <b/>
            <sz val="8"/>
            <color indexed="81"/>
            <rFont val="Tahoma"/>
            <family val="2"/>
          </rPr>
          <t>Lig_Elements</t>
        </r>
        <r>
          <rPr>
            <sz val="8"/>
            <color indexed="81"/>
            <rFont val="Tahoma"/>
            <family val="2"/>
          </rPr>
          <t xml:space="preserve">" so that the macro Read_SC_Elements_Lig will have the proper input range. </t>
        </r>
      </text>
    </comment>
    <comment ref="D52" authorId="0" shapeId="0">
      <text>
        <r>
          <rPr>
            <sz val="8"/>
            <color indexed="81"/>
            <rFont val="Tahoma"/>
            <family val="2"/>
          </rPr>
          <t>Charles M Swenson:
This Cell must be name "</t>
        </r>
        <r>
          <rPr>
            <b/>
            <sz val="8"/>
            <color indexed="81"/>
            <rFont val="Tahoma"/>
            <family val="2"/>
          </rPr>
          <t>Lig_Attitude</t>
        </r>
        <r>
          <rPr>
            <sz val="8"/>
            <color indexed="81"/>
            <rFont val="Tahoma"/>
            <family val="2"/>
          </rPr>
          <t xml:space="preserve">" so that the macro Read_SC_Attitude_Lig will have the proper input range. 
</t>
        </r>
      </text>
    </comment>
    <comment ref="B53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Body Z- Axis pointed at Earth Center
Body X-Axis located in orbital plane in the plane in ram direction
Y-Axis perpendicular to orbital plane</t>
        </r>
      </text>
    </comment>
    <comment ref="B54" authorId="0" shapeId="0">
      <text>
        <r>
          <rPr>
            <b/>
            <sz val="8"/>
            <color indexed="81"/>
            <rFont val="Tahoma"/>
            <family val="2"/>
          </rPr>
          <t xml:space="preserve">Charles M Swenson:
</t>
        </r>
        <r>
          <rPr>
            <sz val="8"/>
            <color indexed="81"/>
            <rFont val="Tahoma"/>
            <family val="2"/>
          </rPr>
          <t xml:space="preserve">
Roll then Pitch then Yaw
Roll about Body  X-Axis
Pitch about Body Y-Axis
Yaw about Body Z-Axis</t>
        </r>
      </text>
    </comment>
    <comment ref="D72" authorId="1" shapeId="0">
      <text>
        <r>
          <rPr>
            <sz val="8"/>
            <color indexed="81"/>
            <rFont val="Tahoma"/>
            <family val="2"/>
          </rPr>
          <t>This Cell must be named "</t>
        </r>
        <r>
          <rPr>
            <b/>
            <sz val="8"/>
            <color indexed="81"/>
            <rFont val="Tahoma"/>
            <family val="2"/>
          </rPr>
          <t>LIG_Body_Power</t>
        </r>
        <r>
          <rPr>
            <sz val="8"/>
            <color indexed="81"/>
            <rFont val="Tahoma"/>
            <family val="2"/>
          </rPr>
          <t xml:space="preserve">"
for this whole block of data to be read in by Visual Basic macros. 
See routine "Read_SC_Power" If lines are added to this output block this routine must be adjusted accordingly
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Charles M Swenson:</t>
        </r>
        <r>
          <rPr>
            <sz val="9"/>
            <color indexed="81"/>
            <rFont val="Tahoma"/>
            <family val="2"/>
          </rPr>
          <t xml:space="preserve">
The efficency * Solar Constant may not quite agree with the area*Vmp*Jmp. this depends if the data in the database is internally consistant.</t>
        </r>
      </text>
    </comment>
    <comment ref="D80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This cell must be named 
LIG_Panel_Power
</t>
        </r>
      </text>
    </comment>
    <comment ref="H147" authorId="0" shapeId="0">
      <text>
        <r>
          <rPr>
            <sz val="10"/>
            <rFont val="Arial"/>
            <family val="2"/>
          </rPr>
          <t>This Cell is Named:
LIG_SunEarth
and is the ankor point for the macro that makes this table</t>
        </r>
      </text>
    </comment>
    <comment ref="AJ147" authorId="0" shapeId="0">
      <text>
        <r>
          <rPr>
            <b/>
            <sz val="9"/>
            <color indexed="81"/>
            <rFont val="Tahoma"/>
            <family val="2"/>
          </rPr>
          <t>Charles M Swenson:</t>
        </r>
        <r>
          <rPr>
            <sz val="9"/>
            <color indexed="81"/>
            <rFont val="Tahoma"/>
            <family val="2"/>
          </rPr>
          <t xml:space="preserve">
Lig_Power is the anker for the Write_Power_Lig macro</t>
        </r>
      </text>
    </comment>
    <comment ref="H222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Lig_Power is this named range. Used for outputing power calculations</t>
        </r>
      </text>
    </comment>
    <comment ref="N222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LIG_OALighting
This range must be named to located the output for macro Write_OALighing_Lig()
</t>
        </r>
      </text>
    </comment>
  </commentList>
</comments>
</file>

<file path=xl/comments2.xml><?xml version="1.0" encoding="utf-8"?>
<comments xmlns="http://schemas.openxmlformats.org/spreadsheetml/2006/main">
  <authors>
    <author>Charles M Swenson</author>
  </authors>
  <commentList>
    <comment ref="C80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This Cell Must Be Named
"Model_Body_Surfaces"
to be read by Macro
"Read_Body_Surfaces"
</t>
        </r>
      </text>
    </comment>
    <comment ref="C123" authorId="0" shapeId="0">
      <text>
        <r>
          <rPr>
            <b/>
            <sz val="8"/>
            <color indexed="81"/>
            <rFont val="Tahoma"/>
            <family val="2"/>
          </rPr>
          <t>Charles M Swenson:</t>
        </r>
        <r>
          <rPr>
            <sz val="8"/>
            <color indexed="81"/>
            <rFont val="Tahoma"/>
            <family val="2"/>
          </rPr>
          <t xml:space="preserve">
This Cell Must Be Named
"Model_Panel_Surfaces"
to be read by Macro
"Read_Panel_Surfaces"</t>
        </r>
      </text>
    </comment>
  </commentList>
</comments>
</file>

<file path=xl/sharedStrings.xml><?xml version="1.0" encoding="utf-8"?>
<sst xmlns="http://schemas.openxmlformats.org/spreadsheetml/2006/main" count="898" uniqueCount="322">
  <si>
    <r>
      <t>cm</t>
    </r>
    <r>
      <rPr>
        <vertAlign val="superscript"/>
        <sz val="10"/>
        <rFont val="Arial"/>
        <family val="2"/>
      </rPr>
      <t>2</t>
    </r>
  </si>
  <si>
    <r>
      <t>cm</t>
    </r>
    <r>
      <rPr>
        <vertAlign val="superscript"/>
        <sz val="10"/>
        <rFont val="Arial"/>
        <family val="2"/>
      </rPr>
      <t>3</t>
    </r>
  </si>
  <si>
    <t xml:space="preserve">   Drag Coefficient</t>
  </si>
  <si>
    <t>Equatorial Radius  (Earth = 6378140)</t>
  </si>
  <si>
    <t>Solar Constant (Earth=1400 )</t>
  </si>
  <si>
    <t>Orientation of the Spacecraft Body Coordinates</t>
  </si>
  <si>
    <t>Body Component</t>
  </si>
  <si>
    <t>Ancillary Mass Component</t>
  </si>
  <si>
    <t>Oblateness Coefficient</t>
  </si>
  <si>
    <r>
      <t>Gravitational constant "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" (Earth=3.986005e14 )</t>
    </r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</si>
  <si>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/s</t>
    </r>
    <r>
      <rPr>
        <vertAlign val="superscript"/>
        <sz val="10"/>
        <rFont val="Arial"/>
        <family val="2"/>
      </rPr>
      <t>2</t>
    </r>
  </si>
  <si>
    <r>
      <t>W/m</t>
    </r>
    <r>
      <rPr>
        <vertAlign val="superscript"/>
        <sz val="10"/>
        <rFont val="Arial"/>
        <family val="2"/>
      </rPr>
      <t>2</t>
    </r>
  </si>
  <si>
    <t>Heliocentric True Anomaly</t>
  </si>
  <si>
    <t>Obliquity of the Ecliptic (Earth = 23.44)</t>
  </si>
  <si>
    <t>Polar Radius (Earth = 6356785)</t>
  </si>
  <si>
    <t>Distance From Sun</t>
  </si>
  <si>
    <t>Meter</t>
  </si>
  <si>
    <t>kg</t>
  </si>
  <si>
    <t>Kilogram</t>
  </si>
  <si>
    <t>seconds</t>
  </si>
  <si>
    <t>Watt</t>
  </si>
  <si>
    <t>Julian day</t>
  </si>
  <si>
    <t>Degrees</t>
  </si>
  <si>
    <t>True or False</t>
  </si>
  <si>
    <t>Unit Definitions</t>
  </si>
  <si>
    <t>SPACECRAFT ATTITUDE</t>
  </si>
  <si>
    <t>Orientation Mode</t>
  </si>
  <si>
    <t>Rotating</t>
  </si>
  <si>
    <t>Initial Roll angle about Y axis</t>
  </si>
  <si>
    <t>Initial roll angle about X axis</t>
  </si>
  <si>
    <t>Initial Roll angle about Z axis</t>
  </si>
  <si>
    <t>Roll Rate about X axis</t>
  </si>
  <si>
    <t>Roll Rate about Y axis</t>
  </si>
  <si>
    <t>Roll Rate about Z axis</t>
  </si>
  <si>
    <t>Unitless</t>
  </si>
  <si>
    <t>Central Body Elements</t>
  </si>
  <si>
    <t>TF</t>
  </si>
  <si>
    <t>cm</t>
  </si>
  <si>
    <t>Centimeter</t>
  </si>
  <si>
    <t>g</t>
  </si>
  <si>
    <t>Gram</t>
  </si>
  <si>
    <t>Total Surface Area</t>
  </si>
  <si>
    <t>Surface Azimuth</t>
  </si>
  <si>
    <t>Surface Elevation</t>
  </si>
  <si>
    <t>Surface Roll</t>
  </si>
  <si>
    <t>Mass at Surface Element</t>
  </si>
  <si>
    <t>Surface Properties</t>
  </si>
  <si>
    <t>Aperture Openings</t>
  </si>
  <si>
    <t>Front Surface Properties</t>
  </si>
  <si>
    <t xml:space="preserve">   Solar Cell Efficiency</t>
  </si>
  <si>
    <t xml:space="preserve">   Solar Cell Area</t>
  </si>
  <si>
    <t xml:space="preserve">   Average Infrared Emissivity</t>
  </si>
  <si>
    <t xml:space="preserve">   Average Solar Absorptivity</t>
  </si>
  <si>
    <t xml:space="preserve">   Average Solar Specular Reflection</t>
  </si>
  <si>
    <t xml:space="preserve">   Average Solar Diffuse Reflection</t>
  </si>
  <si>
    <t>Inside Surface Properties</t>
  </si>
  <si>
    <t>Back Surface Properties</t>
  </si>
  <si>
    <t>Rotating Spacecraft Parameters</t>
  </si>
  <si>
    <t>SPACECRAFT</t>
  </si>
  <si>
    <t>General Spacecraft Parameters</t>
  </si>
  <si>
    <t>Ancillary Mass</t>
  </si>
  <si>
    <t>Ancillary Mass Location  - X</t>
  </si>
  <si>
    <t>Ancillary Mass Location  - Y</t>
  </si>
  <si>
    <t>Ancillary Mass Location  - Z</t>
  </si>
  <si>
    <t>Inertia Matrix</t>
  </si>
  <si>
    <t>Total Mass</t>
  </si>
  <si>
    <t xml:space="preserve">   Row 1</t>
  </si>
  <si>
    <t xml:space="preserve">   Row 2</t>
  </si>
  <si>
    <t xml:space="preserve">   Row 3</t>
  </si>
  <si>
    <t>Body Mass</t>
  </si>
  <si>
    <t>Body Volume</t>
  </si>
  <si>
    <t>THERE ARE NO USER INPUTS ON THIS PAGE</t>
  </si>
  <si>
    <t>Sun Tracking Mode</t>
  </si>
  <si>
    <t>Blocks are formatted for reading by Visual Basic Macros and any changes to this page will require changes to the "Model Interface" Macros</t>
  </si>
  <si>
    <t>INPUTS</t>
  </si>
  <si>
    <t>value</t>
  </si>
  <si>
    <t>source</t>
  </si>
  <si>
    <t>OUTPUTS</t>
  </si>
  <si>
    <t>LIG_Body_Power</t>
  </si>
  <si>
    <t>LIG_OAPower</t>
  </si>
  <si>
    <t>LIG_Panel_Power</t>
  </si>
  <si>
    <t>Axial Spin Rate</t>
  </si>
  <si>
    <t>Model_Body_Surfaces</t>
  </si>
  <si>
    <t>*=ModelState!$C$80</t>
  </si>
  <si>
    <t>Model_Panel_Surfaces</t>
  </si>
  <si>
    <t>*=ModelState!$C$123</t>
  </si>
  <si>
    <t>ModelState</t>
  </si>
  <si>
    <t>g0</t>
  </si>
  <si>
    <t>LIG_Attitude</t>
  </si>
  <si>
    <t>LIG_Elements</t>
  </si>
  <si>
    <t>LIG_OALighting</t>
  </si>
  <si>
    <t>LIG_SunEarth</t>
  </si>
  <si>
    <t>Mu</t>
  </si>
  <si>
    <t>Rearth</t>
  </si>
  <si>
    <t>Global Names</t>
  </si>
  <si>
    <t xml:space="preserve">Named Ranges local to </t>
  </si>
  <si>
    <t>Config</t>
  </si>
  <si>
    <t>Lighting</t>
  </si>
  <si>
    <t>names</t>
  </si>
  <si>
    <t>Input Parameters</t>
  </si>
  <si>
    <t>Calculated Parameters</t>
  </si>
  <si>
    <t>Database Linked Parameters</t>
  </si>
  <si>
    <t>Model Linked Parameters</t>
  </si>
  <si>
    <t>Value</t>
  </si>
  <si>
    <t>X</t>
  </si>
  <si>
    <t>Y</t>
  </si>
  <si>
    <t>Z</t>
  </si>
  <si>
    <t>Sun Tracking</t>
  </si>
  <si>
    <t>I</t>
  </si>
  <si>
    <t>Units</t>
  </si>
  <si>
    <t>m</t>
  </si>
  <si>
    <t>Design Element</t>
  </si>
  <si>
    <t>No</t>
  </si>
  <si>
    <t>Surface Location  - X</t>
  </si>
  <si>
    <t>Surface Location  - Y</t>
  </si>
  <si>
    <t>Surface Location  - Z</t>
  </si>
  <si>
    <t>Normal Vector  - X</t>
  </si>
  <si>
    <t>Normal Vector  - Y</t>
  </si>
  <si>
    <t>Normal Vector  - Z</t>
  </si>
  <si>
    <t>Center of Pressure (In surface coord) - X</t>
  </si>
  <si>
    <t>Center of Pressure (In surface coord) - Y</t>
  </si>
  <si>
    <t>Center of Pressure (In surface coord) - Z</t>
  </si>
  <si>
    <t>Center of Pressure  - X</t>
  </si>
  <si>
    <t>Center of Pressure  - Y</t>
  </si>
  <si>
    <t>Center of Pressure  - Z</t>
  </si>
  <si>
    <t>Normal Vector Component - X</t>
  </si>
  <si>
    <t>Normal Vector Component - Y</t>
  </si>
  <si>
    <t>Normal Vector Component - Z</t>
  </si>
  <si>
    <t>Configuration Properties</t>
  </si>
  <si>
    <t>Mass Properties</t>
  </si>
  <si>
    <r>
      <t xml:space="preserve">Center of Mass (In surface coord) - </t>
    </r>
    <r>
      <rPr>
        <b/>
        <sz val="10"/>
        <rFont val="Arial"/>
        <family val="2"/>
      </rPr>
      <t>X</t>
    </r>
  </si>
  <si>
    <r>
      <t xml:space="preserve">Center of Mass (In surface Coord) - </t>
    </r>
    <r>
      <rPr>
        <b/>
        <sz val="10"/>
        <rFont val="Arial"/>
        <family val="2"/>
      </rPr>
      <t>Y</t>
    </r>
  </si>
  <si>
    <r>
      <t xml:space="preserve">Center of Mass (In surface Coord) - </t>
    </r>
    <r>
      <rPr>
        <b/>
        <sz val="10"/>
        <rFont val="Arial"/>
        <family val="2"/>
      </rPr>
      <t>Z</t>
    </r>
  </si>
  <si>
    <r>
      <t xml:space="preserve">Center of Mass - </t>
    </r>
    <r>
      <rPr>
        <b/>
        <sz val="10"/>
        <rFont val="Arial"/>
        <family val="2"/>
      </rPr>
      <t>X</t>
    </r>
  </si>
  <si>
    <r>
      <t xml:space="preserve">Center of Mass - </t>
    </r>
    <r>
      <rPr>
        <b/>
        <sz val="10"/>
        <rFont val="Arial"/>
        <family val="2"/>
      </rPr>
      <t>Y</t>
    </r>
  </si>
  <si>
    <r>
      <t xml:space="preserve">Center of Mass - </t>
    </r>
    <r>
      <rPr>
        <b/>
        <sz val="10"/>
        <rFont val="Arial"/>
        <family val="2"/>
      </rPr>
      <t>Z</t>
    </r>
  </si>
  <si>
    <t>BODY SURFACES</t>
  </si>
  <si>
    <t>PANEL SURFACES</t>
  </si>
  <si>
    <t>Name of Central body</t>
  </si>
  <si>
    <t>Julian Date/Time of the Epoch</t>
  </si>
  <si>
    <t xml:space="preserve"> Angle between the prime meridian and the vernal equinox at epoch (Earth 280.46 deg @ J2000.0)</t>
  </si>
  <si>
    <t>Spacecraft Orbit</t>
  </si>
  <si>
    <t>ASTRODYNAMICS</t>
  </si>
  <si>
    <t>1 - Nadir Pointing   (Intrack, Crosstrack, Nadir),    2 - Sun Pointing     (Sun, intrack, up),   3 - Inertial Pointing (GCI)</t>
  </si>
  <si>
    <t>Greenwich Hour Angle</t>
  </si>
  <si>
    <t>Offset1</t>
  </si>
  <si>
    <t>Rotation angle offset from the base Body Coordinate system</t>
  </si>
  <si>
    <t>Offset2</t>
  </si>
  <si>
    <t>Type 1 &amp; 2 Orientations means that  Offset1 -&gt; Roll, Offset2 -&gt; Pitch, Offset3 - Yaw</t>
  </si>
  <si>
    <t>Offset3</t>
  </si>
  <si>
    <t>Type 3 Orientations mean that Offset1 -&gt;  RightAscension, Offset2 -&gt; Declination, Offset 3-&gt; Roll</t>
  </si>
  <si>
    <t>SemiMajorAxis of orbit</t>
  </si>
  <si>
    <t>Orbit Inclination</t>
  </si>
  <si>
    <t>Right Ascension of Ascending Node</t>
  </si>
  <si>
    <t>Argument of Periapsis</t>
  </si>
  <si>
    <t>Satellite True Anomaly at Epoc</t>
  </si>
  <si>
    <t>Altitude of Spacecraft</t>
  </si>
  <si>
    <t>Time Since Periapsis Passage</t>
  </si>
  <si>
    <t>s</t>
  </si>
  <si>
    <t>deg</t>
  </si>
  <si>
    <t>Eccentricity</t>
  </si>
  <si>
    <t>deg/s</t>
  </si>
  <si>
    <t>day</t>
  </si>
  <si>
    <t>Spacecraft Body Surface</t>
  </si>
  <si>
    <r>
      <t>Total Surface Area 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</si>
  <si>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Deployed Panel Surfaces</t>
  </si>
  <si>
    <t>Override Parameters</t>
  </si>
  <si>
    <t>Included in Spacecraft</t>
  </si>
  <si>
    <t>1-axis</t>
  </si>
  <si>
    <t>2-axis</t>
  </si>
  <si>
    <t>Nominal Spacecraft Orbit Elements</t>
  </si>
  <si>
    <t>Spacecraft Orientation</t>
  </si>
  <si>
    <t>Nadir Pointing</t>
  </si>
  <si>
    <t>Sun Pointing</t>
  </si>
  <si>
    <t>Roll Offset (deg)</t>
  </si>
  <si>
    <t>Pitch Offset (deg)</t>
  </si>
  <si>
    <t>Yaw Offset (deg)</t>
  </si>
  <si>
    <t>Inertial</t>
  </si>
  <si>
    <t>Roll position (deg)</t>
  </si>
  <si>
    <t>Right Ascention  (deg)</t>
  </si>
  <si>
    <t>Declanation (deg)</t>
  </si>
  <si>
    <t>Spining</t>
  </si>
  <si>
    <t>X Axis Rate, Roll (Hz)</t>
  </si>
  <si>
    <t>Y Axis Rate, Pitch (Hz)</t>
  </si>
  <si>
    <t>Z Axis Rate, Yaw (Hz)</t>
  </si>
  <si>
    <t>Surface Name</t>
  </si>
  <si>
    <t>Side 5</t>
  </si>
  <si>
    <t>Side 6</t>
  </si>
  <si>
    <t>Side 7</t>
  </si>
  <si>
    <t>Side 8</t>
  </si>
  <si>
    <t>Side 9</t>
  </si>
  <si>
    <t>Side 10</t>
  </si>
  <si>
    <r>
      <t xml:space="preserve">Normal Vector Component - </t>
    </r>
    <r>
      <rPr>
        <b/>
        <sz val="10"/>
        <rFont val="Arial"/>
        <family val="2"/>
      </rPr>
      <t>X</t>
    </r>
  </si>
  <si>
    <r>
      <t xml:space="preserve">Normal Vector Component - </t>
    </r>
    <r>
      <rPr>
        <b/>
        <sz val="10"/>
        <rFont val="Arial"/>
        <family val="2"/>
      </rPr>
      <t>Y</t>
    </r>
  </si>
  <si>
    <r>
      <t xml:space="preserve">Normal Vector Component - </t>
    </r>
    <r>
      <rPr>
        <b/>
        <sz val="10"/>
        <rFont val="Arial"/>
        <family val="2"/>
      </rPr>
      <t>Z</t>
    </r>
  </si>
  <si>
    <t>Spacecraft Panel Surface</t>
  </si>
  <si>
    <t>Panel 6</t>
  </si>
  <si>
    <t>Panel 7</t>
  </si>
  <si>
    <t>Panel 8</t>
  </si>
  <si>
    <r>
      <t xml:space="preserve">Normal Vector  - </t>
    </r>
    <r>
      <rPr>
        <b/>
        <sz val="10"/>
        <rFont val="Arial"/>
        <family val="2"/>
      </rPr>
      <t>Y</t>
    </r>
  </si>
  <si>
    <r>
      <t xml:space="preserve">Normal Vector  - </t>
    </r>
    <r>
      <rPr>
        <b/>
        <sz val="10"/>
        <rFont val="Arial"/>
        <family val="2"/>
      </rPr>
      <t>X</t>
    </r>
  </si>
  <si>
    <r>
      <t xml:space="preserve">Normal Vector  - </t>
    </r>
    <r>
      <rPr>
        <b/>
        <sz val="10"/>
        <rFont val="Arial"/>
        <family val="2"/>
      </rPr>
      <t>Z</t>
    </r>
  </si>
  <si>
    <t>-</t>
  </si>
  <si>
    <r>
      <t xml:space="preserve">Center of Pressure (In surface coord) - </t>
    </r>
    <r>
      <rPr>
        <b/>
        <sz val="10"/>
        <rFont val="Arial"/>
        <family val="2"/>
      </rPr>
      <t>X</t>
    </r>
  </si>
  <si>
    <r>
      <t xml:space="preserve">Center of Pressure (In surface coord) - </t>
    </r>
    <r>
      <rPr>
        <b/>
        <sz val="10"/>
        <rFont val="Arial"/>
        <family val="2"/>
      </rPr>
      <t>Y</t>
    </r>
  </si>
  <si>
    <r>
      <t xml:space="preserve">Center of Pressure (In surface coord) - </t>
    </r>
    <r>
      <rPr>
        <b/>
        <sz val="10"/>
        <rFont val="Arial"/>
        <family val="2"/>
      </rPr>
      <t>Z</t>
    </r>
  </si>
  <si>
    <r>
      <t xml:space="preserve">Center of Pressure  - </t>
    </r>
    <r>
      <rPr>
        <b/>
        <sz val="10"/>
        <rFont val="Arial"/>
        <family val="2"/>
      </rPr>
      <t>X</t>
    </r>
  </si>
  <si>
    <r>
      <t xml:space="preserve">Center of Pressure  - </t>
    </r>
    <r>
      <rPr>
        <b/>
        <sz val="10"/>
        <rFont val="Arial"/>
        <family val="2"/>
      </rPr>
      <t>Y</t>
    </r>
  </si>
  <si>
    <r>
      <t xml:space="preserve">Center of Pressure  - </t>
    </r>
    <r>
      <rPr>
        <b/>
        <sz val="10"/>
        <rFont val="Arial"/>
        <family val="2"/>
      </rPr>
      <t>Z</t>
    </r>
  </si>
  <si>
    <t>Inputs</t>
  </si>
  <si>
    <t/>
  </si>
  <si>
    <t>W</t>
  </si>
  <si>
    <t>CNFG_Number_Sides</t>
  </si>
  <si>
    <t>Body Surfaces</t>
  </si>
  <si>
    <t xml:space="preserve">Z - Axis offset of Panel </t>
  </si>
  <si>
    <t xml:space="preserve">Radial Distance (in X-Y Plane) of Panel </t>
  </si>
  <si>
    <t>Mass (kg)</t>
  </si>
  <si>
    <t>*=9.80665</t>
  </si>
  <si>
    <t>*=398600.5</t>
  </si>
  <si>
    <t>*=6378.137</t>
  </si>
  <si>
    <t>Report on Body Surfaces</t>
  </si>
  <si>
    <t>Surface Name (User Can Define)</t>
  </si>
  <si>
    <t>Surface Azimuth (deg)</t>
  </si>
  <si>
    <t>Surface Elevation (deg)</t>
  </si>
  <si>
    <t>Surface Roll (deg)</t>
  </si>
  <si>
    <t>Report on Panel Surfaces</t>
  </si>
  <si>
    <r>
      <t xml:space="preserve">Surface Location  - </t>
    </r>
    <r>
      <rPr>
        <b/>
        <sz val="10"/>
        <rFont val="Arial"/>
        <family val="2"/>
      </rPr>
      <t>X</t>
    </r>
  </si>
  <si>
    <r>
      <t xml:space="preserve">Surface Location  - </t>
    </r>
    <r>
      <rPr>
        <b/>
        <sz val="10"/>
        <rFont val="Arial"/>
        <family val="2"/>
      </rPr>
      <t>Y</t>
    </r>
  </si>
  <si>
    <r>
      <t xml:space="preserve">Surface Location  - </t>
    </r>
    <r>
      <rPr>
        <b/>
        <sz val="10"/>
        <rFont val="Arial"/>
        <family val="2"/>
      </rPr>
      <t>Z</t>
    </r>
  </si>
  <si>
    <t>Solar Cell Efficiency</t>
  </si>
  <si>
    <t>Orbital Average Power</t>
  </si>
  <si>
    <t>Equinox</t>
  </si>
  <si>
    <t>S Solstice</t>
  </si>
  <si>
    <t>W Solstice</t>
  </si>
  <si>
    <t>Nadir</t>
  </si>
  <si>
    <t>Away</t>
  </si>
  <si>
    <t>Color Code Key</t>
  </si>
  <si>
    <t>User Inputs</t>
  </si>
  <si>
    <t>calculated value</t>
  </si>
  <si>
    <t>Heading</t>
  </si>
  <si>
    <t>Sub Heading</t>
  </si>
  <si>
    <t>Model data</t>
  </si>
  <si>
    <t>Spacecraft Configuration</t>
  </si>
  <si>
    <t>Symbol</t>
  </si>
  <si>
    <t>Values</t>
  </si>
  <si>
    <t>Spacecraft Body Configuration</t>
  </si>
  <si>
    <t xml:space="preserve">Deployed Panel Configuration </t>
  </si>
  <si>
    <t>Panel Azimuth</t>
  </si>
  <si>
    <t>Panel Elevation</t>
  </si>
  <si>
    <t>Panel Roll</t>
  </si>
  <si>
    <t>Surface Area</t>
  </si>
  <si>
    <t>Panel Length (local x-axis)</t>
  </si>
  <si>
    <t>Panel Width (local y-axis)</t>
  </si>
  <si>
    <t>*=Config!$E$68</t>
  </si>
  <si>
    <t>km</t>
  </si>
  <si>
    <t>unitless</t>
  </si>
  <si>
    <t>Altitude</t>
  </si>
  <si>
    <t>i</t>
  </si>
  <si>
    <t>e</t>
  </si>
  <si>
    <t>w</t>
  </si>
  <si>
    <t>q</t>
  </si>
  <si>
    <r>
      <rPr>
        <sz val="10"/>
        <rFont val="Symbol"/>
        <family val="1"/>
        <charset val="2"/>
      </rPr>
      <t>q</t>
    </r>
    <r>
      <rPr>
        <vertAlign val="subscript"/>
        <sz val="10"/>
        <rFont val="Arial"/>
        <family val="2"/>
      </rPr>
      <t>e</t>
    </r>
  </si>
  <si>
    <t>Argument of Perigee</t>
  </si>
  <si>
    <t>Satellite True Anomaly</t>
  </si>
  <si>
    <t>True Anomaly of Earth</t>
  </si>
  <si>
    <t>Hz</t>
  </si>
  <si>
    <t xml:space="preserve">Surface Name </t>
  </si>
  <si>
    <t>Solar Cell Area</t>
  </si>
  <si>
    <t>percent</t>
  </si>
  <si>
    <t xml:space="preserve">Surface Available </t>
  </si>
  <si>
    <t>Surface Available</t>
  </si>
  <si>
    <t>Spacecraft Lighting</t>
  </si>
  <si>
    <t>*=Lighting!$C$52</t>
  </si>
  <si>
    <t>*=Lighting!$C$72</t>
  </si>
  <si>
    <t>*=Lighting!$C$44</t>
  </si>
  <si>
    <t>*=Lighting!$M$192</t>
  </si>
  <si>
    <t>*=Lighting!$G$192</t>
  </si>
  <si>
    <t>*=Lighting!$C$80</t>
  </si>
  <si>
    <t>*=Lighting!$G$117</t>
  </si>
  <si>
    <t>Length of Side X</t>
  </si>
  <si>
    <t>Length of Side Y</t>
  </si>
  <si>
    <t>Length of Side Z</t>
  </si>
  <si>
    <t>Top/Bottom Area (X*Y)</t>
  </si>
  <si>
    <t>Ram</t>
  </si>
  <si>
    <t>Tail</t>
  </si>
  <si>
    <t>Left</t>
  </si>
  <si>
    <t>Right</t>
  </si>
  <si>
    <t>P-Left</t>
  </si>
  <si>
    <t>P-Right</t>
  </si>
  <si>
    <t>Left Tail</t>
  </si>
  <si>
    <t>User</t>
  </si>
  <si>
    <t>Front/Back Panel Area (Y*Z)</t>
  </si>
  <si>
    <t>Side Panel Area (X*Z)</t>
  </si>
  <si>
    <t>Wing 1</t>
  </si>
  <si>
    <t>Wing 2</t>
  </si>
  <si>
    <t>Cell Area  (Solar Aero ZTG)</t>
  </si>
  <si>
    <r>
      <t>A</t>
    </r>
    <r>
      <rPr>
        <vertAlign val="subscript"/>
        <sz val="10"/>
        <rFont val="Arial"/>
        <family val="2"/>
      </rPr>
      <t>sc</t>
    </r>
  </si>
  <si>
    <t>Cell Power Efficiency</t>
  </si>
  <si>
    <t>%</t>
  </si>
  <si>
    <t xml:space="preserve">Cell Max Power Voltage </t>
  </si>
  <si>
    <r>
      <t>V</t>
    </r>
    <r>
      <rPr>
        <vertAlign val="subscript"/>
        <sz val="10"/>
        <rFont val="Arial"/>
        <family val="2"/>
      </rPr>
      <t>mp</t>
    </r>
  </si>
  <si>
    <t>V</t>
  </si>
  <si>
    <t>Cell Max Power Current Density</t>
  </si>
  <si>
    <r>
      <t>J</t>
    </r>
    <r>
      <rPr>
        <vertAlign val="subscript"/>
        <sz val="10"/>
        <rFont val="Arial"/>
        <family val="2"/>
      </rPr>
      <t>mp</t>
    </r>
  </si>
  <si>
    <r>
      <t>mA/cm</t>
    </r>
    <r>
      <rPr>
        <vertAlign val="superscript"/>
        <sz val="10"/>
        <rFont val="Arial"/>
        <family val="2"/>
      </rPr>
      <t>2</t>
    </r>
  </si>
  <si>
    <t>Power Beginning of Life (per cell)</t>
  </si>
  <si>
    <r>
      <t>P</t>
    </r>
    <r>
      <rPr>
        <vertAlign val="subscript"/>
        <sz val="10"/>
        <rFont val="Arial"/>
        <family val="2"/>
      </rPr>
      <t>BOL</t>
    </r>
  </si>
  <si>
    <t>mW</t>
  </si>
  <si>
    <t># of Cells in Series</t>
  </si>
  <si>
    <t># of Strings</t>
  </si>
  <si>
    <t>Total # of Cells in Array</t>
  </si>
  <si>
    <r>
      <t>N</t>
    </r>
    <r>
      <rPr>
        <vertAlign val="subscript"/>
        <sz val="10"/>
        <rFont val="Arial"/>
        <family val="2"/>
      </rPr>
      <t>cells</t>
    </r>
  </si>
  <si>
    <t>Design Cell Total Area</t>
  </si>
  <si>
    <r>
      <t>A</t>
    </r>
    <r>
      <rPr>
        <vertAlign val="subscript"/>
        <sz val="10"/>
        <rFont val="Arial"/>
        <family val="2"/>
      </rPr>
      <t>panel</t>
    </r>
  </si>
  <si>
    <t>Design Panel Voltage ( @ 28°C)</t>
  </si>
  <si>
    <t>Design BOL Current (no losses @ 28°C)</t>
  </si>
  <si>
    <t>A</t>
  </si>
  <si>
    <t>Design BOL Power (no losses @ 28°C)</t>
  </si>
  <si>
    <t>Right Ascension Ascending Node</t>
  </si>
  <si>
    <t>Solar Array Calculations from Single Cell</t>
  </si>
  <si>
    <t>Average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</si>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</sst>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0.0%"/>
  </numFmts>
  <fonts count="32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b/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color indexed="42"/>
      <name val="Arial"/>
      <family val="2"/>
    </font>
    <font>
      <sz val="10"/>
      <name val="SurfaceVectors"/>
    </font>
    <font>
      <vertAlign val="superscript"/>
      <sz val="10"/>
      <name val="Arial"/>
      <family val="2"/>
    </font>
    <font>
      <i/>
      <sz val="10"/>
      <name val="Arial"/>
      <family val="2"/>
    </font>
    <font>
      <sz val="1"/>
      <color indexed="8"/>
      <name val="Courier"/>
      <family val="3"/>
    </font>
    <font>
      <vertAlign val="subscript"/>
      <sz val="10"/>
      <name val="Arial"/>
      <family val="2"/>
    </font>
    <font>
      <sz val="10"/>
      <color indexed="22"/>
      <name val="Arial"/>
      <family val="2"/>
    </font>
    <font>
      <b/>
      <sz val="8"/>
      <color indexed="81"/>
      <name val="Tahoma"/>
      <family val="2"/>
    </font>
    <font>
      <sz val="10"/>
      <color indexed="55"/>
      <name val="Arial"/>
      <family val="2"/>
    </font>
    <font>
      <b/>
      <i/>
      <sz val="16"/>
      <name val="Arial"/>
      <family val="2"/>
    </font>
    <font>
      <b/>
      <sz val="10"/>
      <color indexed="9"/>
      <name val="Arial"/>
      <family val="2"/>
    </font>
    <font>
      <b/>
      <i/>
      <sz val="20"/>
      <name val="Arial"/>
      <family val="2"/>
    </font>
    <font>
      <sz val="10"/>
      <color theme="0" tint="-0.14999847407452621"/>
      <name val="Arial"/>
      <family val="2"/>
    </font>
    <font>
      <b/>
      <sz val="10"/>
      <name val="Symbol"/>
      <family val="1"/>
      <charset val="2"/>
    </font>
    <font>
      <i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FFFF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indexed="55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</borders>
  <cellStyleXfs count="12">
    <xf numFmtId="0" fontId="0" fillId="0" borderId="0"/>
    <xf numFmtId="9" fontId="2" fillId="0" borderId="0" applyFont="0" applyFill="0" applyBorder="0" applyAlignment="0" applyProtection="0"/>
    <xf numFmtId="0" fontId="14" fillId="0" borderId="1">
      <protection locked="0"/>
    </xf>
    <xf numFmtId="165" fontId="4" fillId="4" borderId="56"/>
    <xf numFmtId="11" fontId="5" fillId="11" borderId="56"/>
    <xf numFmtId="0" fontId="20" fillId="10" borderId="32">
      <alignment horizontal="center"/>
    </xf>
    <xf numFmtId="0" fontId="5" fillId="8" borderId="56"/>
    <xf numFmtId="0" fontId="5" fillId="7" borderId="56"/>
    <xf numFmtId="0" fontId="2" fillId="0" borderId="0"/>
    <xf numFmtId="2" fontId="2" fillId="4" borderId="56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474">
    <xf numFmtId="0" fontId="0" fillId="0" borderId="0" xfId="0"/>
    <xf numFmtId="0" fontId="20" fillId="10" borderId="3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/>
    <xf numFmtId="0" fontId="5" fillId="3" borderId="0" xfId="0" applyFont="1" applyFill="1" applyBorder="1"/>
    <xf numFmtId="164" fontId="3" fillId="3" borderId="0" xfId="0" applyNumberFormat="1" applyFont="1" applyFill="1" applyBorder="1"/>
    <xf numFmtId="164" fontId="5" fillId="3" borderId="0" xfId="0" applyNumberFormat="1" applyFont="1" applyFill="1" applyBorder="1"/>
    <xf numFmtId="0" fontId="7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2" fontId="0" fillId="0" borderId="0" xfId="0" applyNumberFormat="1" applyFill="1" applyBorder="1"/>
    <xf numFmtId="0" fontId="0" fillId="3" borderId="0" xfId="0" applyFill="1" applyBorder="1"/>
    <xf numFmtId="0" fontId="0" fillId="3" borderId="2" xfId="0" applyFill="1" applyBorder="1"/>
    <xf numFmtId="0" fontId="0" fillId="3" borderId="3" xfId="0" applyFill="1" applyBorder="1"/>
    <xf numFmtId="2" fontId="0" fillId="3" borderId="0" xfId="0" applyNumberFormat="1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9" xfId="0" applyFill="1" applyBorder="1"/>
    <xf numFmtId="0" fontId="0" fillId="0" borderId="0" xfId="0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4" borderId="0" xfId="0" applyFill="1" applyBorder="1" applyAlignment="1">
      <alignment horizontal="center"/>
    </xf>
    <xf numFmtId="2" fontId="0" fillId="4" borderId="6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0" fontId="7" fillId="3" borderId="4" xfId="0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164" fontId="0" fillId="4" borderId="12" xfId="0" applyNumberForma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11" fillId="4" borderId="13" xfId="0" applyFon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2" fontId="11" fillId="4" borderId="12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2" fontId="0" fillId="4" borderId="13" xfId="0" applyNumberFormat="1" applyFill="1" applyBorder="1" applyAlignment="1">
      <alignment horizontal="center"/>
    </xf>
    <xf numFmtId="2" fontId="11" fillId="4" borderId="23" xfId="0" applyNumberFormat="1" applyFont="1" applyFill="1" applyBorder="1" applyAlignment="1">
      <alignment horizontal="center"/>
    </xf>
    <xf numFmtId="2" fontId="11" fillId="7" borderId="12" xfId="0" applyNumberFormat="1" applyFont="1" applyFill="1" applyBorder="1" applyAlignment="1">
      <alignment horizontal="center"/>
    </xf>
    <xf numFmtId="2" fontId="11" fillId="7" borderId="13" xfId="0" applyNumberFormat="1" applyFont="1" applyFill="1" applyBorder="1" applyAlignment="1">
      <alignment horizontal="center"/>
    </xf>
    <xf numFmtId="0" fontId="5" fillId="0" borderId="0" xfId="0" applyFont="1" applyFill="1"/>
    <xf numFmtId="0" fontId="0" fillId="4" borderId="0" xfId="0" applyFill="1"/>
    <xf numFmtId="0" fontId="0" fillId="8" borderId="0" xfId="0" applyFill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" fontId="0" fillId="4" borderId="0" xfId="0" applyNumberFormat="1" applyFill="1" applyBorder="1" applyAlignment="1">
      <alignment horizontal="center"/>
    </xf>
    <xf numFmtId="11" fontId="0" fillId="4" borderId="0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0" xfId="0" applyFill="1" applyBorder="1"/>
    <xf numFmtId="165" fontId="0" fillId="4" borderId="0" xfId="0" applyNumberForma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4" fontId="0" fillId="4" borderId="0" xfId="0" applyNumberFormat="1" applyFill="1" applyBorder="1"/>
    <xf numFmtId="0" fontId="0" fillId="4" borderId="3" xfId="0" applyFill="1" applyBorder="1"/>
    <xf numFmtId="0" fontId="0" fillId="4" borderId="8" xfId="0" applyFill="1" applyBorder="1"/>
    <xf numFmtId="0" fontId="7" fillId="3" borderId="3" xfId="0" applyFont="1" applyFill="1" applyBorder="1"/>
    <xf numFmtId="2" fontId="5" fillId="4" borderId="0" xfId="0" applyNumberFormat="1" applyFont="1" applyFill="1" applyBorder="1" applyAlignment="1">
      <alignment horizontal="center"/>
    </xf>
    <xf numFmtId="0" fontId="0" fillId="8" borderId="0" xfId="0" applyFill="1" applyBorder="1"/>
    <xf numFmtId="0" fontId="0" fillId="3" borderId="25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2" fontId="0" fillId="4" borderId="6" xfId="0" applyNumberFormat="1" applyFill="1" applyBorder="1" applyAlignment="1"/>
    <xf numFmtId="2" fontId="0" fillId="4" borderId="6" xfId="0" applyNumberFormat="1" applyFill="1" applyBorder="1"/>
    <xf numFmtId="2" fontId="0" fillId="4" borderId="0" xfId="0" applyNumberFormat="1" applyFill="1" applyBorder="1"/>
    <xf numFmtId="0" fontId="0" fillId="0" borderId="0" xfId="0" applyNumberFormat="1"/>
    <xf numFmtId="0" fontId="5" fillId="2" borderId="0" xfId="0" applyFont="1" applyFill="1"/>
    <xf numFmtId="0" fontId="5" fillId="2" borderId="0" xfId="0" applyNumberFormat="1" applyFont="1" applyFill="1"/>
    <xf numFmtId="0" fontId="0" fillId="3" borderId="29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5" fillId="4" borderId="0" xfId="0" applyFont="1" applyFill="1" applyBorder="1"/>
    <xf numFmtId="0" fontId="7" fillId="4" borderId="0" xfId="0" applyFont="1" applyFill="1"/>
    <xf numFmtId="0" fontId="7" fillId="8" borderId="0" xfId="0" applyFont="1" applyFill="1"/>
    <xf numFmtId="0" fontId="0" fillId="7" borderId="31" xfId="0" applyFill="1" applyBorder="1" applyAlignment="1">
      <alignment horizontal="center"/>
    </xf>
    <xf numFmtId="0" fontId="0" fillId="4" borderId="31" xfId="0" applyFill="1" applyBorder="1" applyAlignment="1">
      <alignment horizontal="center"/>
    </xf>
    <xf numFmtId="0" fontId="0" fillId="3" borderId="8" xfId="0" applyFill="1" applyBorder="1"/>
    <xf numFmtId="0" fontId="0" fillId="3" borderId="9" xfId="0" applyFill="1" applyBorder="1"/>
    <xf numFmtId="0" fontId="7" fillId="3" borderId="18" xfId="0" applyFont="1" applyFill="1" applyBorder="1"/>
    <xf numFmtId="0" fontId="0" fillId="3" borderId="32" xfId="0" applyFill="1" applyBorder="1"/>
    <xf numFmtId="0" fontId="0" fillId="3" borderId="19" xfId="0" applyFill="1" applyBorder="1"/>
    <xf numFmtId="0" fontId="7" fillId="3" borderId="32" xfId="0" applyFont="1" applyFill="1" applyBorder="1"/>
    <xf numFmtId="0" fontId="7" fillId="4" borderId="0" xfId="0" applyFont="1" applyFill="1" applyBorder="1"/>
    <xf numFmtId="0" fontId="7" fillId="8" borderId="0" xfId="0" applyFont="1" applyFill="1" applyBorder="1"/>
    <xf numFmtId="164" fontId="5" fillId="4" borderId="0" xfId="0" applyNumberFormat="1" applyFont="1" applyFill="1" applyBorder="1"/>
    <xf numFmtId="0" fontId="7" fillId="4" borderId="0" xfId="0" applyFont="1" applyFill="1" applyAlignment="1">
      <alignment horizontal="center"/>
    </xf>
    <xf numFmtId="0" fontId="0" fillId="8" borderId="0" xfId="0" applyFill="1" applyBorder="1" applyAlignment="1">
      <alignment horizontal="center"/>
    </xf>
    <xf numFmtId="0" fontId="6" fillId="3" borderId="0" xfId="0" applyNumberFormat="1" applyFont="1" applyFill="1" applyAlignment="1">
      <alignment horizontal="center"/>
    </xf>
    <xf numFmtId="0" fontId="0" fillId="3" borderId="0" xfId="0" applyFill="1"/>
    <xf numFmtId="2" fontId="0" fillId="4" borderId="14" xfId="0" applyNumberFormat="1" applyFill="1" applyBorder="1"/>
    <xf numFmtId="2" fontId="0" fillId="4" borderId="4" xfId="0" applyNumberForma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0" fillId="4" borderId="4" xfId="0" applyNumberFormat="1" applyFill="1" applyBorder="1" applyAlignment="1"/>
    <xf numFmtId="2" fontId="0" fillId="4" borderId="15" xfId="0" applyNumberFormat="1" applyFill="1" applyBorder="1"/>
    <xf numFmtId="2" fontId="0" fillId="4" borderId="16" xfId="0" applyNumberFormat="1" applyFill="1" applyBorder="1"/>
    <xf numFmtId="2" fontId="0" fillId="4" borderId="7" xfId="0" applyNumberFormat="1" applyFill="1" applyBorder="1" applyAlignment="1">
      <alignment horizontal="center"/>
    </xf>
    <xf numFmtId="2" fontId="0" fillId="4" borderId="8" xfId="0" applyNumberFormat="1" applyFill="1" applyBorder="1" applyAlignment="1">
      <alignment horizontal="center"/>
    </xf>
    <xf numFmtId="0" fontId="6" fillId="3" borderId="0" xfId="0" applyFont="1" applyFill="1" applyBorder="1"/>
    <xf numFmtId="2" fontId="0" fillId="4" borderId="4" xfId="0" applyNumberFormat="1" applyFill="1" applyBorder="1"/>
    <xf numFmtId="2" fontId="0" fillId="4" borderId="3" xfId="0" applyNumberFormat="1" applyFill="1" applyBorder="1"/>
    <xf numFmtId="2" fontId="0" fillId="4" borderId="5" xfId="0" applyNumberFormat="1" applyFill="1" applyBorder="1"/>
    <xf numFmtId="2" fontId="0" fillId="4" borderId="2" xfId="0" applyNumberFormat="1" applyFill="1" applyBorder="1"/>
    <xf numFmtId="2" fontId="0" fillId="4" borderId="7" xfId="0" applyNumberFormat="1" applyFill="1" applyBorder="1"/>
    <xf numFmtId="2" fontId="0" fillId="4" borderId="8" xfId="0" applyNumberFormat="1" applyFill="1" applyBorder="1"/>
    <xf numFmtId="2" fontId="0" fillId="4" borderId="9" xfId="0" applyNumberFormat="1" applyFill="1" applyBorder="1"/>
    <xf numFmtId="164" fontId="0" fillId="8" borderId="12" xfId="0" applyNumberFormat="1" applyFill="1" applyBorder="1" applyAlignment="1">
      <alignment horizontal="center"/>
    </xf>
    <xf numFmtId="164" fontId="0" fillId="8" borderId="13" xfId="0" applyNumberFormat="1" applyFill="1" applyBorder="1" applyAlignment="1">
      <alignment horizontal="center"/>
    </xf>
    <xf numFmtId="2" fontId="11" fillId="8" borderId="12" xfId="0" applyNumberFormat="1" applyFont="1" applyFill="1" applyBorder="1" applyAlignment="1">
      <alignment horizontal="center"/>
    </xf>
    <xf numFmtId="2" fontId="11" fillId="8" borderId="13" xfId="0" applyNumberFormat="1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11" fillId="8" borderId="12" xfId="0" applyFont="1" applyFill="1" applyBorder="1" applyAlignment="1">
      <alignment horizontal="center"/>
    </xf>
    <xf numFmtId="0" fontId="11" fillId="8" borderId="13" xfId="0" applyFont="1" applyFill="1" applyBorder="1" applyAlignment="1">
      <alignment horizontal="center"/>
    </xf>
    <xf numFmtId="2" fontId="0" fillId="8" borderId="12" xfId="0" applyNumberFormat="1" applyFill="1" applyBorder="1" applyAlignment="1">
      <alignment horizontal="center"/>
    </xf>
    <xf numFmtId="2" fontId="0" fillId="8" borderId="13" xfId="0" applyNumberFormat="1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11" fillId="8" borderId="0" xfId="0" applyFont="1" applyFill="1" applyBorder="1" applyAlignment="1">
      <alignment horizontal="center"/>
    </xf>
    <xf numFmtId="0" fontId="16" fillId="0" borderId="0" xfId="0" applyFont="1" applyFill="1" applyAlignment="1">
      <alignment horizontal="left"/>
    </xf>
    <xf numFmtId="0" fontId="16" fillId="0" borderId="0" xfId="0" applyFont="1" applyFill="1" applyBorder="1" applyAlignment="1">
      <alignment horizontal="left"/>
    </xf>
    <xf numFmtId="0" fontId="0" fillId="4" borderId="33" xfId="0" applyFill="1" applyBorder="1"/>
    <xf numFmtId="164" fontId="5" fillId="4" borderId="33" xfId="0" applyNumberFormat="1" applyFont="1" applyFill="1" applyBorder="1"/>
    <xf numFmtId="0" fontId="5" fillId="4" borderId="33" xfId="0" applyFont="1" applyFill="1" applyBorder="1"/>
    <xf numFmtId="0" fontId="7" fillId="4" borderId="33" xfId="0" applyFont="1" applyFill="1" applyBorder="1"/>
    <xf numFmtId="2" fontId="0" fillId="3" borderId="0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0" fillId="2" borderId="21" xfId="0" applyFont="1" applyFill="1" applyBorder="1"/>
    <xf numFmtId="0" fontId="5" fillId="3" borderId="25" xfId="0" applyFont="1" applyFill="1" applyBorder="1"/>
    <xf numFmtId="164" fontId="3" fillId="3" borderId="25" xfId="0" applyNumberFormat="1" applyFont="1" applyFill="1" applyBorder="1"/>
    <xf numFmtId="0" fontId="10" fillId="3" borderId="26" xfId="0" applyFont="1" applyFill="1" applyBorder="1"/>
    <xf numFmtId="1" fontId="3" fillId="4" borderId="21" xfId="0" applyNumberFormat="1" applyFont="1" applyFill="1" applyBorder="1" applyAlignment="1">
      <alignment horizontal="left"/>
    </xf>
    <xf numFmtId="0" fontId="10" fillId="3" borderId="11" xfId="0" applyFont="1" applyFill="1" applyBorder="1"/>
    <xf numFmtId="1" fontId="3" fillId="5" borderId="21" xfId="0" applyNumberFormat="1" applyFont="1" applyFill="1" applyBorder="1" applyAlignment="1">
      <alignment horizontal="left"/>
    </xf>
    <xf numFmtId="1" fontId="5" fillId="7" borderId="21" xfId="0" applyNumberFormat="1" applyFont="1" applyFill="1" applyBorder="1" applyAlignment="1">
      <alignment horizontal="left"/>
    </xf>
    <xf numFmtId="1" fontId="3" fillId="6" borderId="21" xfId="0" applyNumberFormat="1" applyFont="1" applyFill="1" applyBorder="1" applyAlignment="1">
      <alignment horizontal="left"/>
    </xf>
    <xf numFmtId="164" fontId="5" fillId="3" borderId="28" xfId="0" applyNumberFormat="1" applyFont="1" applyFill="1" applyBorder="1"/>
    <xf numFmtId="164" fontId="3" fillId="3" borderId="28" xfId="0" applyNumberFormat="1" applyFont="1" applyFill="1" applyBorder="1"/>
    <xf numFmtId="0" fontId="10" fillId="3" borderId="27" xfId="0" applyFont="1" applyFill="1" applyBorder="1"/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2" fontId="0" fillId="4" borderId="23" xfId="0" applyNumberFormat="1" applyFill="1" applyBorder="1" applyAlignment="1">
      <alignment horizontal="center"/>
    </xf>
    <xf numFmtId="2" fontId="0" fillId="4" borderId="25" xfId="0" applyNumberFormat="1" applyFill="1" applyBorder="1" applyAlignment="1">
      <alignment horizontal="center"/>
    </xf>
    <xf numFmtId="2" fontId="0" fillId="4" borderId="24" xfId="0" applyNumberFormat="1" applyFill="1" applyBorder="1" applyAlignment="1">
      <alignment horizontal="center"/>
    </xf>
    <xf numFmtId="0" fontId="0" fillId="3" borderId="34" xfId="0" applyFill="1" applyBorder="1"/>
    <xf numFmtId="2" fontId="0" fillId="4" borderId="31" xfId="0" applyNumberFormat="1" applyFill="1" applyBorder="1" applyAlignment="1">
      <alignment horizontal="center"/>
    </xf>
    <xf numFmtId="2" fontId="0" fillId="4" borderId="28" xfId="0" applyNumberFormat="1" applyFill="1" applyBorder="1" applyAlignment="1">
      <alignment horizontal="center"/>
    </xf>
    <xf numFmtId="2" fontId="0" fillId="4" borderId="36" xfId="0" applyNumberFormat="1" applyFill="1" applyBorder="1" applyAlignment="1">
      <alignment horizontal="center"/>
    </xf>
    <xf numFmtId="164" fontId="0" fillId="4" borderId="31" xfId="0" applyNumberFormat="1" applyFill="1" applyBorder="1" applyAlignment="1">
      <alignment horizontal="center"/>
    </xf>
    <xf numFmtId="2" fontId="11" fillId="4" borderId="31" xfId="0" applyNumberFormat="1" applyFont="1" applyFill="1" applyBorder="1" applyAlignment="1">
      <alignment horizontal="center"/>
    </xf>
    <xf numFmtId="2" fontId="11" fillId="4" borderId="36" xfId="0" applyNumberFormat="1" applyFont="1" applyFill="1" applyBorder="1" applyAlignment="1">
      <alignment horizontal="center"/>
    </xf>
    <xf numFmtId="2" fontId="0" fillId="4" borderId="5" xfId="0" applyNumberFormat="1" applyFill="1" applyBorder="1" applyAlignment="1"/>
    <xf numFmtId="2" fontId="0" fillId="4" borderId="2" xfId="0" applyNumberFormat="1" applyFill="1" applyBorder="1" applyAlignment="1"/>
    <xf numFmtId="0" fontId="0" fillId="4" borderId="7" xfId="0" applyFill="1" applyBorder="1"/>
    <xf numFmtId="2" fontId="0" fillId="0" borderId="0" xfId="0" applyNumberFormat="1" applyFill="1" applyBorder="1" applyAlignment="1">
      <alignment horizontal="center"/>
    </xf>
    <xf numFmtId="2" fontId="0" fillId="4" borderId="37" xfId="0" applyNumberFormat="1" applyFill="1" applyBorder="1" applyAlignment="1">
      <alignment horizontal="center"/>
    </xf>
    <xf numFmtId="2" fontId="0" fillId="4" borderId="38" xfId="0" applyNumberFormat="1" applyFill="1" applyBorder="1" applyAlignment="1">
      <alignment horizontal="center"/>
    </xf>
    <xf numFmtId="2" fontId="11" fillId="4" borderId="24" xfId="0" applyNumberFormat="1" applyFont="1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164" fontId="0" fillId="4" borderId="23" xfId="0" applyNumberFormat="1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3" borderId="41" xfId="0" applyFill="1" applyBorder="1"/>
    <xf numFmtId="1" fontId="0" fillId="0" borderId="14" xfId="0" applyNumberFormat="1" applyBorder="1" applyAlignment="1">
      <alignment horizontal="right"/>
    </xf>
    <xf numFmtId="1" fontId="0" fillId="0" borderId="15" xfId="0" applyNumberFormat="1" applyBorder="1" applyAlignment="1">
      <alignment horizontal="right"/>
    </xf>
    <xf numFmtId="1" fontId="11" fillId="0" borderId="15" xfId="0" applyNumberFormat="1" applyFont="1" applyFill="1" applyBorder="1" applyAlignment="1">
      <alignment horizontal="right"/>
    </xf>
    <xf numFmtId="1" fontId="0" fillId="0" borderId="15" xfId="0" applyNumberFormat="1" applyFill="1" applyBorder="1" applyAlignment="1">
      <alignment horizontal="right"/>
    </xf>
    <xf numFmtId="1" fontId="0" fillId="0" borderId="16" xfId="0" applyNumberFormat="1" applyFill="1" applyBorder="1" applyAlignment="1">
      <alignment horizontal="right"/>
    </xf>
    <xf numFmtId="1" fontId="0" fillId="0" borderId="0" xfId="0" applyNumberFormat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0" fontId="11" fillId="4" borderId="23" xfId="0" applyFont="1" applyFill="1" applyBorder="1" applyAlignment="1">
      <alignment horizontal="center"/>
    </xf>
    <xf numFmtId="0" fontId="11" fillId="4" borderId="24" xfId="0" applyFont="1" applyFill="1" applyBorder="1" applyAlignment="1">
      <alignment horizontal="center"/>
    </xf>
    <xf numFmtId="0" fontId="11" fillId="4" borderId="25" xfId="0" applyFont="1" applyFill="1" applyBorder="1" applyAlignment="1">
      <alignment horizontal="center"/>
    </xf>
    <xf numFmtId="0" fontId="0" fillId="3" borderId="42" xfId="0" applyFill="1" applyBorder="1" applyAlignment="1">
      <alignment horizontal="center"/>
    </xf>
    <xf numFmtId="0" fontId="0" fillId="3" borderId="43" xfId="0" applyFill="1" applyBorder="1" applyAlignment="1">
      <alignment horizontal="center"/>
    </xf>
    <xf numFmtId="0" fontId="0" fillId="3" borderId="41" xfId="0" applyFill="1" applyBorder="1" applyAlignment="1">
      <alignment horizontal="left"/>
    </xf>
    <xf numFmtId="0" fontId="0" fillId="3" borderId="44" xfId="0" applyFill="1" applyBorder="1"/>
    <xf numFmtId="0" fontId="0" fillId="4" borderId="25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4" borderId="3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2" fontId="0" fillId="4" borderId="21" xfId="0" applyNumberFormat="1" applyFill="1" applyBorder="1" applyAlignment="1">
      <alignment horizontal="center"/>
    </xf>
    <xf numFmtId="0" fontId="0" fillId="3" borderId="17" xfId="0" applyFill="1" applyBorder="1"/>
    <xf numFmtId="2" fontId="0" fillId="4" borderId="22" xfId="0" applyNumberFormat="1" applyFill="1" applyBorder="1" applyAlignment="1">
      <alignment horizontal="center"/>
    </xf>
    <xf numFmtId="0" fontId="0" fillId="9" borderId="0" xfId="0" applyFill="1"/>
    <xf numFmtId="0" fontId="5" fillId="0" borderId="0" xfId="0" applyFont="1" applyFill="1" applyBorder="1"/>
    <xf numFmtId="0" fontId="0" fillId="3" borderId="25" xfId="0" quotePrefix="1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7" fillId="0" borderId="0" xfId="0" applyFont="1" applyFill="1" applyBorder="1"/>
    <xf numFmtId="0" fontId="5" fillId="3" borderId="41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7" fillId="3" borderId="45" xfId="0" applyFont="1" applyFill="1" applyBorder="1" applyAlignment="1">
      <alignment horizontal="center"/>
    </xf>
    <xf numFmtId="0" fontId="7" fillId="3" borderId="46" xfId="0" applyFont="1" applyFill="1" applyBorder="1" applyAlignment="1">
      <alignment horizontal="center"/>
    </xf>
    <xf numFmtId="0" fontId="7" fillId="3" borderId="19" xfId="0" applyFont="1" applyFill="1" applyBorder="1" applyAlignment="1">
      <alignment horizontal="center"/>
    </xf>
    <xf numFmtId="0" fontId="7" fillId="3" borderId="17" xfId="0" applyFont="1" applyFill="1" applyBorder="1"/>
    <xf numFmtId="0" fontId="7" fillId="3" borderId="47" xfId="0" applyFont="1" applyFill="1" applyBorder="1" applyAlignment="1">
      <alignment horizontal="center"/>
    </xf>
    <xf numFmtId="0" fontId="7" fillId="3" borderId="6" xfId="0" quotePrefix="1" applyFont="1" applyFill="1" applyBorder="1" applyAlignment="1">
      <alignment horizontal="center"/>
    </xf>
    <xf numFmtId="0" fontId="5" fillId="3" borderId="26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1" xfId="0" quotePrefix="1" applyFont="1" applyFill="1" applyBorder="1" applyAlignment="1">
      <alignment horizontal="center"/>
    </xf>
    <xf numFmtId="0" fontId="5" fillId="3" borderId="35" xfId="0" applyFont="1" applyFill="1" applyBorder="1" applyAlignment="1">
      <alignment horizontal="center"/>
    </xf>
    <xf numFmtId="0" fontId="5" fillId="3" borderId="26" xfId="0" quotePrefix="1" applyFont="1" applyFill="1" applyBorder="1" applyAlignment="1">
      <alignment horizontal="center"/>
    </xf>
    <xf numFmtId="0" fontId="7" fillId="0" borderId="0" xfId="0" applyFont="1" applyBorder="1"/>
    <xf numFmtId="0" fontId="0" fillId="3" borderId="26" xfId="0" quotePrefix="1" applyFill="1" applyBorder="1" applyAlignment="1">
      <alignment horizontal="center"/>
    </xf>
    <xf numFmtId="0" fontId="0" fillId="3" borderId="0" xfId="0" quotePrefix="1" applyFill="1" applyBorder="1" applyAlignment="1">
      <alignment horizontal="center"/>
    </xf>
    <xf numFmtId="0" fontId="0" fillId="3" borderId="28" xfId="0" quotePrefix="1" applyFill="1" applyBorder="1" applyAlignment="1">
      <alignment horizontal="center"/>
    </xf>
    <xf numFmtId="164" fontId="0" fillId="4" borderId="25" xfId="0" applyNumberFormat="1" applyFill="1" applyBorder="1" applyAlignment="1">
      <alignment horizontal="center"/>
    </xf>
    <xf numFmtId="164" fontId="0" fillId="4" borderId="24" xfId="0" applyNumberFormat="1" applyFill="1" applyBorder="1" applyAlignment="1">
      <alignment horizontal="center"/>
    </xf>
    <xf numFmtId="0" fontId="13" fillId="3" borderId="6" xfId="0" applyFont="1" applyFill="1" applyBorder="1"/>
    <xf numFmtId="0" fontId="0" fillId="3" borderId="8" xfId="0" quotePrefix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3" borderId="25" xfId="0" applyFont="1" applyFill="1" applyBorder="1" applyAlignment="1">
      <alignment horizontal="center"/>
    </xf>
    <xf numFmtId="0" fontId="0" fillId="4" borderId="44" xfId="0" applyFill="1" applyBorder="1"/>
    <xf numFmtId="0" fontId="0" fillId="4" borderId="48" xfId="0" applyFill="1" applyBorder="1"/>
    <xf numFmtId="0" fontId="13" fillId="3" borderId="17" xfId="0" applyFont="1" applyFill="1" applyBorder="1"/>
    <xf numFmtId="164" fontId="0" fillId="3" borderId="21" xfId="0" applyNumberFormat="1" applyFill="1" applyBorder="1" applyAlignment="1">
      <alignment horizontal="center"/>
    </xf>
    <xf numFmtId="164" fontId="0" fillId="3" borderId="22" xfId="0" applyNumberFormat="1" applyFill="1" applyBorder="1" applyAlignment="1">
      <alignment horizontal="center"/>
    </xf>
    <xf numFmtId="164" fontId="0" fillId="3" borderId="45" xfId="0" applyNumberFormat="1" applyFill="1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7" fillId="3" borderId="49" xfId="0" applyFont="1" applyFill="1" applyBorder="1" applyAlignment="1">
      <alignment horizontal="center"/>
    </xf>
    <xf numFmtId="0" fontId="0" fillId="4" borderId="24" xfId="0" applyFill="1" applyBorder="1"/>
    <xf numFmtId="0" fontId="0" fillId="4" borderId="13" xfId="0" applyFill="1" applyBorder="1"/>
    <xf numFmtId="0" fontId="0" fillId="4" borderId="38" xfId="0" applyFill="1" applyBorder="1"/>
    <xf numFmtId="0" fontId="18" fillId="0" borderId="0" xfId="0" applyFont="1"/>
    <xf numFmtId="0" fontId="0" fillId="3" borderId="0" xfId="0" quotePrefix="1" applyFill="1" applyAlignment="1">
      <alignment horizontal="center"/>
    </xf>
    <xf numFmtId="164" fontId="0" fillId="7" borderId="12" xfId="0" applyNumberForma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/>
    </xf>
    <xf numFmtId="164" fontId="0" fillId="7" borderId="13" xfId="0" applyNumberFormat="1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2" fontId="0" fillId="7" borderId="23" xfId="0" applyNumberFormat="1" applyFill="1" applyBorder="1" applyAlignment="1">
      <alignment horizontal="center"/>
    </xf>
    <xf numFmtId="2" fontId="0" fillId="7" borderId="25" xfId="0" applyNumberFormat="1" applyFill="1" applyBorder="1" applyAlignment="1">
      <alignment horizontal="center"/>
    </xf>
    <xf numFmtId="2" fontId="0" fillId="7" borderId="24" xfId="0" applyNumberFormat="1" applyFill="1" applyBorder="1" applyAlignment="1">
      <alignment horizontal="center"/>
    </xf>
    <xf numFmtId="2" fontId="0" fillId="7" borderId="12" xfId="0" applyNumberFormat="1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2" fontId="0" fillId="7" borderId="13" xfId="0" applyNumberFormat="1" applyFill="1" applyBorder="1" applyAlignment="1">
      <alignment horizontal="center"/>
    </xf>
    <xf numFmtId="2" fontId="0" fillId="7" borderId="31" xfId="0" applyNumberFormat="1" applyFill="1" applyBorder="1" applyAlignment="1">
      <alignment horizontal="center"/>
    </xf>
    <xf numFmtId="2" fontId="0" fillId="7" borderId="28" xfId="0" applyNumberFormat="1" applyFill="1" applyBorder="1" applyAlignment="1">
      <alignment horizontal="center"/>
    </xf>
    <xf numFmtId="2" fontId="0" fillId="7" borderId="36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11" fillId="7" borderId="23" xfId="0" applyNumberFormat="1" applyFont="1" applyFill="1" applyBorder="1" applyAlignment="1">
      <alignment horizontal="center"/>
    </xf>
    <xf numFmtId="164" fontId="0" fillId="7" borderId="31" xfId="0" applyNumberFormat="1" applyFill="1" applyBorder="1" applyAlignment="1">
      <alignment horizontal="center"/>
    </xf>
    <xf numFmtId="2" fontId="11" fillId="7" borderId="31" xfId="0" applyNumberFormat="1" applyFont="1" applyFill="1" applyBorder="1" applyAlignment="1">
      <alignment horizontal="center"/>
    </xf>
    <xf numFmtId="2" fontId="11" fillId="7" borderId="36" xfId="0" applyNumberFormat="1" applyFont="1" applyFill="1" applyBorder="1" applyAlignment="1">
      <alignment horizontal="center"/>
    </xf>
    <xf numFmtId="2" fontId="0" fillId="7" borderId="37" xfId="0" applyNumberFormat="1" applyFill="1" applyBorder="1" applyAlignment="1">
      <alignment horizontal="center"/>
    </xf>
    <xf numFmtId="2" fontId="0" fillId="7" borderId="38" xfId="0" applyNumberFormat="1" applyFill="1" applyBorder="1" applyAlignment="1">
      <alignment horizontal="center"/>
    </xf>
    <xf numFmtId="0" fontId="11" fillId="7" borderId="12" xfId="0" applyFont="1" applyFill="1" applyBorder="1" applyAlignment="1">
      <alignment horizontal="center"/>
    </xf>
    <xf numFmtId="0" fontId="11" fillId="7" borderId="13" xfId="0" applyFont="1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2" fontId="11" fillId="7" borderId="24" xfId="0" applyNumberFormat="1" applyFont="1" applyFill="1" applyBorder="1" applyAlignment="1">
      <alignment horizontal="center"/>
    </xf>
    <xf numFmtId="0" fontId="0" fillId="3" borderId="46" xfId="0" quotePrefix="1" applyFill="1" applyBorder="1" applyAlignment="1">
      <alignment horizontal="center"/>
    </xf>
    <xf numFmtId="0" fontId="16" fillId="8" borderId="0" xfId="0" applyFont="1" applyFill="1" applyBorder="1"/>
    <xf numFmtId="164" fontId="0" fillId="8" borderId="0" xfId="0" applyNumberFormat="1" applyFill="1" applyBorder="1" applyAlignment="1">
      <alignment horizontal="center"/>
    </xf>
    <xf numFmtId="2" fontId="11" fillId="8" borderId="0" xfId="0" applyNumberFormat="1" applyFont="1" applyFill="1" applyBorder="1" applyAlignment="1">
      <alignment horizontal="center"/>
    </xf>
    <xf numFmtId="2" fontId="0" fillId="8" borderId="0" xfId="0" applyNumberFormat="1" applyFill="1" applyBorder="1" applyAlignment="1">
      <alignment horizontal="center"/>
    </xf>
    <xf numFmtId="1" fontId="0" fillId="8" borderId="0" xfId="0" applyNumberFormat="1" applyFill="1" applyBorder="1" applyAlignment="1">
      <alignment horizontal="right"/>
    </xf>
    <xf numFmtId="1" fontId="11" fillId="8" borderId="0" xfId="0" applyNumberFormat="1" applyFont="1" applyFill="1" applyBorder="1" applyAlignment="1">
      <alignment horizontal="right"/>
    </xf>
    <xf numFmtId="0" fontId="11" fillId="8" borderId="23" xfId="0" applyFont="1" applyFill="1" applyBorder="1" applyAlignment="1">
      <alignment horizontal="center"/>
    </xf>
    <xf numFmtId="0" fontId="11" fillId="8" borderId="24" xfId="0" applyFont="1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2" fontId="0" fillId="8" borderId="23" xfId="0" applyNumberFormat="1" applyFill="1" applyBorder="1" applyAlignment="1">
      <alignment horizontal="center"/>
    </xf>
    <xf numFmtId="2" fontId="0" fillId="8" borderId="25" xfId="0" applyNumberFormat="1" applyFill="1" applyBorder="1" applyAlignment="1">
      <alignment horizontal="center"/>
    </xf>
    <xf numFmtId="2" fontId="0" fillId="8" borderId="24" xfId="0" applyNumberFormat="1" applyFill="1" applyBorder="1" applyAlignment="1">
      <alignment horizontal="center"/>
    </xf>
    <xf numFmtId="2" fontId="0" fillId="8" borderId="31" xfId="0" applyNumberFormat="1" applyFill="1" applyBorder="1" applyAlignment="1">
      <alignment horizontal="center"/>
    </xf>
    <xf numFmtId="2" fontId="0" fillId="8" borderId="28" xfId="0" applyNumberFormat="1" applyFill="1" applyBorder="1" applyAlignment="1">
      <alignment horizontal="center"/>
    </xf>
    <xf numFmtId="2" fontId="0" fillId="8" borderId="36" xfId="0" applyNumberFormat="1" applyFill="1" applyBorder="1" applyAlignment="1">
      <alignment horizontal="center"/>
    </xf>
    <xf numFmtId="164" fontId="0" fillId="8" borderId="23" xfId="0" applyNumberFormat="1" applyFill="1" applyBorder="1" applyAlignment="1">
      <alignment horizontal="center"/>
    </xf>
    <xf numFmtId="2" fontId="11" fillId="8" borderId="23" xfId="0" applyNumberFormat="1" applyFont="1" applyFill="1" applyBorder="1" applyAlignment="1">
      <alignment horizontal="center"/>
    </xf>
    <xf numFmtId="164" fontId="0" fillId="8" borderId="31" xfId="0" applyNumberFormat="1" applyFill="1" applyBorder="1" applyAlignment="1">
      <alignment horizontal="center"/>
    </xf>
    <xf numFmtId="2" fontId="11" fillId="8" borderId="31" xfId="0" applyNumberFormat="1" applyFont="1" applyFill="1" applyBorder="1" applyAlignment="1">
      <alignment horizontal="center"/>
    </xf>
    <xf numFmtId="2" fontId="11" fillId="8" borderId="36" xfId="0" applyNumberFormat="1" applyFont="1" applyFill="1" applyBorder="1" applyAlignment="1">
      <alignment horizontal="center"/>
    </xf>
    <xf numFmtId="2" fontId="0" fillId="8" borderId="37" xfId="0" applyNumberFormat="1" applyFill="1" applyBorder="1" applyAlignment="1">
      <alignment horizontal="center"/>
    </xf>
    <xf numFmtId="2" fontId="0" fillId="8" borderId="38" xfId="0" applyNumberFormat="1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2" fontId="11" fillId="8" borderId="24" xfId="0" applyNumberFormat="1" applyFont="1" applyFill="1" applyBorder="1" applyAlignment="1">
      <alignment horizontal="center"/>
    </xf>
    <xf numFmtId="0" fontId="11" fillId="7" borderId="23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0" fontId="11" fillId="7" borderId="24" xfId="0" applyFont="1" applyFill="1" applyBorder="1" applyAlignment="1">
      <alignment horizontal="center"/>
    </xf>
    <xf numFmtId="0" fontId="0" fillId="3" borderId="17" xfId="0" applyFill="1" applyBorder="1" applyAlignment="1">
      <alignment horizontal="right"/>
    </xf>
    <xf numFmtId="0" fontId="0" fillId="3" borderId="6" xfId="0" applyFill="1" applyBorder="1" applyAlignment="1">
      <alignment horizontal="right"/>
    </xf>
    <xf numFmtId="0" fontId="0" fillId="3" borderId="41" xfId="0" applyFill="1" applyBorder="1" applyAlignment="1">
      <alignment horizontal="right"/>
    </xf>
    <xf numFmtId="0" fontId="0" fillId="3" borderId="34" xfId="0" applyFill="1" applyBorder="1" applyAlignment="1">
      <alignment horizontal="right"/>
    </xf>
    <xf numFmtId="0" fontId="0" fillId="3" borderId="7" xfId="0" applyFill="1" applyBorder="1" applyAlignment="1">
      <alignment horizontal="right"/>
    </xf>
    <xf numFmtId="0" fontId="0" fillId="8" borderId="0" xfId="0" applyFill="1" applyAlignment="1">
      <alignment horizontal="right"/>
    </xf>
    <xf numFmtId="0" fontId="7" fillId="3" borderId="4" xfId="0" applyFont="1" applyFill="1" applyBorder="1" applyAlignment="1">
      <alignment horizontal="right"/>
    </xf>
    <xf numFmtId="0" fontId="0" fillId="3" borderId="18" xfId="0" applyFill="1" applyBorder="1" applyAlignment="1">
      <alignment horizontal="right"/>
    </xf>
    <xf numFmtId="0" fontId="7" fillId="8" borderId="0" xfId="0" applyFont="1" applyFill="1" applyAlignment="1">
      <alignment horizontal="right"/>
    </xf>
    <xf numFmtId="0" fontId="11" fillId="8" borderId="25" xfId="0" applyFont="1" applyFill="1" applyBorder="1" applyAlignment="1">
      <alignment horizontal="center"/>
    </xf>
    <xf numFmtId="0" fontId="11" fillId="3" borderId="23" xfId="0" applyFont="1" applyFill="1" applyBorder="1" applyAlignment="1">
      <alignment horizontal="center"/>
    </xf>
    <xf numFmtId="0" fontId="0" fillId="3" borderId="50" xfId="0" applyFill="1" applyBorder="1" applyAlignment="1">
      <alignment horizontal="right"/>
    </xf>
    <xf numFmtId="0" fontId="0" fillId="3" borderId="51" xfId="0" applyFill="1" applyBorder="1" applyAlignment="1">
      <alignment horizontal="center"/>
    </xf>
    <xf numFmtId="0" fontId="0" fillId="8" borderId="52" xfId="0" applyFill="1" applyBorder="1" applyAlignment="1">
      <alignment horizontal="center"/>
    </xf>
    <xf numFmtId="164" fontId="0" fillId="8" borderId="52" xfId="0" applyNumberFormat="1" applyFill="1" applyBorder="1" applyAlignment="1">
      <alignment horizontal="center"/>
    </xf>
    <xf numFmtId="164" fontId="0" fillId="8" borderId="51" xfId="0" applyNumberFormat="1" applyFill="1" applyBorder="1" applyAlignment="1">
      <alignment horizontal="center"/>
    </xf>
    <xf numFmtId="164" fontId="0" fillId="8" borderId="53" xfId="0" applyNumberFormat="1" applyFill="1" applyBorder="1" applyAlignment="1">
      <alignment horizontal="center"/>
    </xf>
    <xf numFmtId="0" fontId="11" fillId="3" borderId="24" xfId="0" applyFont="1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7" fillId="8" borderId="0" xfId="0" applyFont="1" applyFill="1" applyAlignment="1">
      <alignment horizontal="center"/>
    </xf>
    <xf numFmtId="0" fontId="5" fillId="8" borderId="0" xfId="0" applyFont="1" applyFill="1" applyAlignment="1">
      <alignment horizontal="right"/>
    </xf>
    <xf numFmtId="0" fontId="5" fillId="8" borderId="0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9" fillId="0" borderId="0" xfId="0" applyFont="1"/>
    <xf numFmtId="0" fontId="21" fillId="0" borderId="0" xfId="0" applyFont="1"/>
    <xf numFmtId="0" fontId="0" fillId="0" borderId="0" xfId="0"/>
    <xf numFmtId="0" fontId="7" fillId="0" borderId="54" xfId="0" applyFont="1" applyBorder="1"/>
    <xf numFmtId="0" fontId="7" fillId="0" borderId="55" xfId="0" applyFont="1" applyBorder="1"/>
    <xf numFmtId="0" fontId="0" fillId="7" borderId="54" xfId="0" applyFill="1" applyBorder="1"/>
    <xf numFmtId="0" fontId="0" fillId="7" borderId="55" xfId="0" applyFill="1" applyBorder="1"/>
    <xf numFmtId="0" fontId="0" fillId="4" borderId="54" xfId="0" applyFill="1" applyBorder="1"/>
    <xf numFmtId="0" fontId="0" fillId="4" borderId="55" xfId="0" applyFill="1" applyBorder="1"/>
    <xf numFmtId="0" fontId="0" fillId="10" borderId="54" xfId="0" applyFill="1" applyBorder="1"/>
    <xf numFmtId="0" fontId="0" fillId="10" borderId="55" xfId="0" applyFill="1" applyBorder="1"/>
    <xf numFmtId="0" fontId="0" fillId="8" borderId="54" xfId="0" applyFill="1" applyBorder="1"/>
    <xf numFmtId="0" fontId="0" fillId="8" borderId="55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0" borderId="0" xfId="0"/>
    <xf numFmtId="0" fontId="20" fillId="10" borderId="5" xfId="0" applyFont="1" applyFill="1" applyBorder="1" applyAlignment="1">
      <alignment horizontal="center"/>
    </xf>
    <xf numFmtId="0" fontId="5" fillId="8" borderId="57" xfId="6" applyBorder="1"/>
    <xf numFmtId="0" fontId="5" fillId="8" borderId="56" xfId="6" applyBorder="1"/>
    <xf numFmtId="0" fontId="5" fillId="8" borderId="58" xfId="6" applyBorder="1"/>
    <xf numFmtId="0" fontId="20" fillId="10" borderId="3" xfId="5" applyBorder="1">
      <alignment horizontal="center"/>
    </xf>
    <xf numFmtId="0" fontId="5" fillId="8" borderId="59" xfId="6" applyBorder="1"/>
    <xf numFmtId="0" fontId="20" fillId="10" borderId="25" xfId="5" quotePrefix="1" applyBorder="1">
      <alignment horizontal="center"/>
    </xf>
    <xf numFmtId="0" fontId="20" fillId="10" borderId="18" xfId="5" applyBorder="1">
      <alignment horizontal="center"/>
    </xf>
    <xf numFmtId="0" fontId="5" fillId="7" borderId="56" xfId="7" applyBorder="1"/>
    <xf numFmtId="164" fontId="5" fillId="7" borderId="56" xfId="7" applyNumberFormat="1" applyBorder="1"/>
    <xf numFmtId="0" fontId="5" fillId="8" borderId="60" xfId="6" applyBorder="1"/>
    <xf numFmtId="0" fontId="5" fillId="8" borderId="61" xfId="6" applyBorder="1"/>
    <xf numFmtId="0" fontId="5" fillId="8" borderId="62" xfId="6" applyBorder="1"/>
    <xf numFmtId="0" fontId="20" fillId="10" borderId="4" xfId="5" applyBorder="1">
      <alignment horizontal="center"/>
    </xf>
    <xf numFmtId="0" fontId="20" fillId="10" borderId="32" xfId="5" applyBorder="1">
      <alignment horizontal="center"/>
    </xf>
    <xf numFmtId="0" fontId="20" fillId="10" borderId="19" xfId="5" applyBorder="1">
      <alignment horizontal="center"/>
    </xf>
    <xf numFmtId="0" fontId="20" fillId="10" borderId="41" xfId="5" applyBorder="1">
      <alignment horizontal="center"/>
    </xf>
    <xf numFmtId="0" fontId="5" fillId="7" borderId="58" xfId="7" applyBorder="1"/>
    <xf numFmtId="0" fontId="5" fillId="8" borderId="63" xfId="6" applyBorder="1"/>
    <xf numFmtId="0" fontId="22" fillId="7" borderId="56" xfId="7" applyFont="1" applyBorder="1"/>
    <xf numFmtId="0" fontId="22" fillId="7" borderId="58" xfId="7" applyFont="1" applyBorder="1"/>
    <xf numFmtId="0" fontId="5" fillId="8" borderId="56" xfId="6" quotePrefix="1" applyBorder="1"/>
    <xf numFmtId="1" fontId="4" fillId="4" borderId="61" xfId="3" applyNumberFormat="1" applyBorder="1"/>
    <xf numFmtId="1" fontId="4" fillId="4" borderId="56" xfId="3" applyNumberFormat="1" applyBorder="1"/>
    <xf numFmtId="0" fontId="0" fillId="4" borderId="4" xfId="0" applyFill="1" applyBorder="1"/>
    <xf numFmtId="0" fontId="0" fillId="4" borderId="6" xfId="0" applyFill="1" applyBorder="1"/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5" fillId="8" borderId="64" xfId="6" applyBorder="1" applyAlignment="1">
      <alignment horizontal="center"/>
    </xf>
    <xf numFmtId="0" fontId="5" fillId="7" borderId="64" xfId="7" applyBorder="1"/>
    <xf numFmtId="0" fontId="5" fillId="8" borderId="65" xfId="6" applyBorder="1"/>
    <xf numFmtId="0" fontId="5" fillId="8" borderId="56" xfId="6" applyBorder="1" applyAlignment="1">
      <alignment horizontal="center"/>
    </xf>
    <xf numFmtId="0" fontId="6" fillId="8" borderId="56" xfId="6" applyFont="1" applyBorder="1" applyAlignment="1">
      <alignment horizontal="center"/>
    </xf>
    <xf numFmtId="0" fontId="5" fillId="8" borderId="61" xfId="6" applyBorder="1" applyAlignment="1">
      <alignment horizontal="center"/>
    </xf>
    <xf numFmtId="0" fontId="5" fillId="7" borderId="61" xfId="7" applyBorder="1"/>
    <xf numFmtId="0" fontId="5" fillId="8" borderId="66" xfId="6" applyBorder="1"/>
    <xf numFmtId="0" fontId="5" fillId="8" borderId="64" xfId="6" applyBorder="1"/>
    <xf numFmtId="0" fontId="5" fillId="7" borderId="67" xfId="7" applyBorder="1"/>
    <xf numFmtId="165" fontId="4" fillId="4" borderId="67" xfId="3" applyBorder="1" applyAlignment="1">
      <alignment horizontal="center"/>
    </xf>
    <xf numFmtId="164" fontId="4" fillId="4" borderId="67" xfId="3" applyNumberFormat="1" applyBorder="1" applyAlignment="1">
      <alignment horizontal="center"/>
    </xf>
    <xf numFmtId="0" fontId="5" fillId="7" borderId="67" xfId="7" applyBorder="1" applyAlignment="1">
      <alignment horizontal="center"/>
    </xf>
    <xf numFmtId="0" fontId="0" fillId="4" borderId="4" xfId="0" applyNumberFormat="1" applyFill="1" applyBorder="1"/>
    <xf numFmtId="0" fontId="0" fillId="4" borderId="6" xfId="0" applyNumberFormat="1" applyFill="1" applyBorder="1"/>
    <xf numFmtId="164" fontId="4" fillId="4" borderId="56" xfId="3" applyNumberFormat="1" applyBorder="1" applyAlignment="1">
      <alignment horizontal="center"/>
    </xf>
    <xf numFmtId="164" fontId="4" fillId="4" borderId="68" xfId="3" applyNumberFormat="1" applyBorder="1" applyAlignment="1">
      <alignment horizontal="center"/>
    </xf>
    <xf numFmtId="0" fontId="5" fillId="7" borderId="68" xfId="7" applyBorder="1"/>
    <xf numFmtId="0" fontId="20" fillId="10" borderId="5" xfId="5" applyBorder="1">
      <alignment horizontal="center"/>
    </xf>
    <xf numFmtId="0" fontId="5" fillId="8" borderId="64" xfId="6" quotePrefix="1" applyBorder="1"/>
    <xf numFmtId="164" fontId="4" fillId="4" borderId="71" xfId="3" applyNumberFormat="1" applyBorder="1" applyAlignment="1">
      <alignment horizontal="center"/>
    </xf>
    <xf numFmtId="164" fontId="4" fillId="4" borderId="64" xfId="3" applyNumberFormat="1" applyBorder="1" applyAlignment="1">
      <alignment horizontal="center"/>
    </xf>
    <xf numFmtId="164" fontId="4" fillId="4" borderId="72" xfId="3" applyNumberFormat="1" applyBorder="1" applyAlignment="1">
      <alignment horizontal="center"/>
    </xf>
    <xf numFmtId="0" fontId="5" fillId="8" borderId="61" xfId="6" quotePrefix="1" applyBorder="1"/>
    <xf numFmtId="165" fontId="4" fillId="4" borderId="68" xfId="3" applyBorder="1" applyAlignment="1">
      <alignment horizontal="center"/>
    </xf>
    <xf numFmtId="0" fontId="5" fillId="7" borderId="68" xfId="7" applyBorder="1" applyAlignment="1">
      <alignment horizontal="center"/>
    </xf>
    <xf numFmtId="0" fontId="20" fillId="10" borderId="32" xfId="5" quotePrefix="1" applyBorder="1">
      <alignment horizontal="center"/>
    </xf>
    <xf numFmtId="0" fontId="7" fillId="3" borderId="3" xfId="5" applyFont="1" applyFill="1" applyBorder="1">
      <alignment horizontal="center"/>
    </xf>
    <xf numFmtId="0" fontId="23" fillId="3" borderId="4" xfId="5" applyFont="1" applyFill="1" applyBorder="1">
      <alignment horizontal="center"/>
    </xf>
    <xf numFmtId="0" fontId="2" fillId="8" borderId="57" xfId="6" applyFont="1" applyBorder="1"/>
    <xf numFmtId="0" fontId="2" fillId="8" borderId="58" xfId="6" applyFont="1" applyBorder="1"/>
    <xf numFmtId="0" fontId="2" fillId="7" borderId="56" xfId="7" applyFont="1" applyAlignment="1">
      <alignment horizontal="center"/>
    </xf>
    <xf numFmtId="0" fontId="2" fillId="12" borderId="57" xfId="6" applyFont="1" applyFill="1" applyBorder="1"/>
    <xf numFmtId="0" fontId="7" fillId="12" borderId="4" xfId="0" applyFont="1" applyFill="1" applyBorder="1"/>
    <xf numFmtId="0" fontId="0" fillId="12" borderId="3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7" fillId="12" borderId="46" xfId="0" applyFont="1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22" xfId="0" applyFill="1" applyBorder="1" applyAlignment="1">
      <alignment horizontal="center"/>
    </xf>
    <xf numFmtId="0" fontId="0" fillId="12" borderId="6" xfId="0" applyFill="1" applyBorder="1" applyAlignment="1">
      <alignment horizontal="left"/>
    </xf>
    <xf numFmtId="0" fontId="0" fillId="12" borderId="25" xfId="0" quotePrefix="1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6" xfId="0" applyFill="1" applyBorder="1"/>
    <xf numFmtId="0" fontId="0" fillId="12" borderId="41" xfId="0" applyFill="1" applyBorder="1"/>
    <xf numFmtId="0" fontId="0" fillId="12" borderId="26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12" borderId="34" xfId="0" applyFill="1" applyBorder="1"/>
    <xf numFmtId="0" fontId="0" fillId="12" borderId="27" xfId="0" applyFill="1" applyBorder="1" applyAlignment="1">
      <alignment horizontal="center"/>
    </xf>
    <xf numFmtId="0" fontId="0" fillId="12" borderId="28" xfId="0" applyFill="1" applyBorder="1" applyAlignment="1">
      <alignment horizontal="center"/>
    </xf>
    <xf numFmtId="0" fontId="0" fillId="12" borderId="26" xfId="0" quotePrefix="1" applyFill="1" applyBorder="1" applyAlignment="1">
      <alignment horizontal="center"/>
    </xf>
    <xf numFmtId="0" fontId="0" fillId="12" borderId="0" xfId="0" quotePrefix="1" applyFill="1" applyBorder="1" applyAlignment="1">
      <alignment horizontal="center"/>
    </xf>
    <xf numFmtId="0" fontId="0" fillId="12" borderId="28" xfId="0" quotePrefix="1" applyFill="1" applyBorder="1" applyAlignment="1">
      <alignment horizontal="center"/>
    </xf>
    <xf numFmtId="0" fontId="0" fillId="12" borderId="7" xfId="0" applyFill="1" applyBorder="1"/>
    <xf numFmtId="0" fontId="0" fillId="12" borderId="8" xfId="0" applyFill="1" applyBorder="1" applyAlignment="1">
      <alignment horizontal="center"/>
    </xf>
    <xf numFmtId="0" fontId="0" fillId="12" borderId="3" xfId="0" applyFill="1" applyBorder="1"/>
    <xf numFmtId="0" fontId="0" fillId="12" borderId="41" xfId="0" applyFill="1" applyBorder="1" applyAlignment="1">
      <alignment horizontal="left"/>
    </xf>
    <xf numFmtId="0" fontId="0" fillId="12" borderId="0" xfId="0" quotePrefix="1" applyFill="1" applyAlignment="1">
      <alignment horizontal="center"/>
    </xf>
    <xf numFmtId="0" fontId="0" fillId="12" borderId="20" xfId="0" applyFill="1" applyBorder="1" applyAlignment="1">
      <alignment horizontal="center"/>
    </xf>
    <xf numFmtId="0" fontId="2" fillId="7" borderId="56" xfId="7" applyFont="1" applyBorder="1"/>
    <xf numFmtId="1" fontId="0" fillId="4" borderId="12" xfId="0" applyNumberFormat="1" applyFill="1" applyBorder="1" applyAlignment="1">
      <alignment horizontal="center"/>
    </xf>
    <xf numFmtId="1" fontId="4" fillId="4" borderId="62" xfId="3" applyNumberFormat="1" applyBorder="1"/>
    <xf numFmtId="0" fontId="0" fillId="3" borderId="32" xfId="0" applyFill="1" applyBorder="1" applyAlignment="1">
      <alignment horizontal="center"/>
    </xf>
    <xf numFmtId="0" fontId="19" fillId="0" borderId="0" xfId="8" applyFont="1" applyBorder="1"/>
    <xf numFmtId="0" fontId="2" fillId="0" borderId="0" xfId="8" applyBorder="1"/>
    <xf numFmtId="0" fontId="3" fillId="0" borderId="0" xfId="8" applyFont="1" applyBorder="1"/>
    <xf numFmtId="0" fontId="20" fillId="10" borderId="18" xfId="8" applyFont="1" applyFill="1" applyBorder="1" applyAlignment="1">
      <alignment horizontal="center"/>
    </xf>
    <xf numFmtId="0" fontId="20" fillId="10" borderId="32" xfId="8" applyFont="1" applyFill="1" applyBorder="1" applyAlignment="1">
      <alignment horizontal="center"/>
    </xf>
    <xf numFmtId="0" fontId="20" fillId="10" borderId="19" xfId="8" applyFont="1" applyFill="1" applyBorder="1" applyAlignment="1">
      <alignment horizontal="center"/>
    </xf>
    <xf numFmtId="0" fontId="2" fillId="8" borderId="57" xfId="6" applyFont="1" applyBorder="1" applyAlignment="1">
      <alignment vertical="center"/>
    </xf>
    <xf numFmtId="0" fontId="2" fillId="8" borderId="56" xfId="6" applyFont="1" applyBorder="1" applyAlignment="1">
      <alignment horizontal="center" vertical="center"/>
    </xf>
    <xf numFmtId="0" fontId="5" fillId="7" borderId="56" xfId="7"/>
    <xf numFmtId="0" fontId="2" fillId="8" borderId="58" xfId="6" applyFont="1" applyBorder="1" applyAlignment="1">
      <alignment vertical="center"/>
    </xf>
    <xf numFmtId="0" fontId="0" fillId="8" borderId="57" xfId="6" applyFont="1" applyBorder="1" applyAlignment="1">
      <alignment vertical="center"/>
    </xf>
    <xf numFmtId="0" fontId="5" fillId="8" borderId="56" xfId="6" applyBorder="1" applyAlignment="1">
      <alignment horizontal="center" vertical="center"/>
    </xf>
    <xf numFmtId="0" fontId="0" fillId="8" borderId="58" xfId="6" applyFont="1" applyBorder="1" applyAlignment="1">
      <alignment vertical="center"/>
    </xf>
    <xf numFmtId="0" fontId="0" fillId="8" borderId="56" xfId="6" applyFont="1" applyBorder="1" applyAlignment="1">
      <alignment horizontal="center" vertical="center"/>
    </xf>
    <xf numFmtId="0" fontId="5" fillId="8" borderId="58" xfId="6" applyBorder="1" applyAlignment="1">
      <alignment vertical="center"/>
    </xf>
    <xf numFmtId="164" fontId="2" fillId="4" borderId="56" xfId="9" applyNumberFormat="1"/>
    <xf numFmtId="164" fontId="4" fillId="4" borderId="56" xfId="3" applyNumberFormat="1" applyBorder="1" applyAlignment="1">
      <alignment vertical="center"/>
    </xf>
    <xf numFmtId="0" fontId="5" fillId="8" borderId="57" xfId="6" applyBorder="1" applyAlignment="1">
      <alignment vertical="center"/>
    </xf>
    <xf numFmtId="1" fontId="4" fillId="4" borderId="56" xfId="3" applyNumberFormat="1" applyBorder="1" applyAlignment="1">
      <alignment vertical="center"/>
    </xf>
    <xf numFmtId="0" fontId="0" fillId="8" borderId="60" xfId="6" applyFont="1" applyBorder="1" applyAlignment="1">
      <alignment vertical="center"/>
    </xf>
    <xf numFmtId="0" fontId="0" fillId="8" borderId="61" xfId="6" applyFont="1" applyBorder="1" applyAlignment="1">
      <alignment horizontal="center" vertical="center"/>
    </xf>
    <xf numFmtId="164" fontId="4" fillId="4" borderId="61" xfId="3" applyNumberFormat="1" applyBorder="1" applyAlignment="1">
      <alignment vertical="center"/>
    </xf>
    <xf numFmtId="0" fontId="5" fillId="8" borderId="62" xfId="6" applyBorder="1" applyAlignment="1">
      <alignment vertical="center"/>
    </xf>
    <xf numFmtId="166" fontId="5" fillId="7" borderId="69" xfId="1" applyNumberFormat="1" applyFont="1" applyFill="1" applyBorder="1"/>
    <xf numFmtId="166" fontId="5" fillId="7" borderId="61" xfId="1" applyNumberFormat="1" applyFont="1" applyFill="1" applyBorder="1"/>
    <xf numFmtId="166" fontId="5" fillId="7" borderId="70" xfId="1" applyNumberFormat="1" applyFont="1" applyFill="1" applyBorder="1"/>
    <xf numFmtId="166" fontId="5" fillId="7" borderId="67" xfId="1" applyNumberFormat="1" applyFont="1" applyFill="1" applyBorder="1" applyAlignment="1">
      <alignment horizontal="center"/>
    </xf>
    <xf numFmtId="166" fontId="5" fillId="7" borderId="68" xfId="1" applyNumberFormat="1" applyFont="1" applyFill="1" applyBorder="1" applyAlignment="1">
      <alignment horizontal="center"/>
    </xf>
    <xf numFmtId="166" fontId="5" fillId="7" borderId="69" xfId="1" applyNumberFormat="1" applyFont="1" applyFill="1" applyBorder="1" applyAlignment="1">
      <alignment horizontal="center"/>
    </xf>
    <xf numFmtId="166" fontId="5" fillId="7" borderId="70" xfId="1" applyNumberFormat="1" applyFont="1" applyFill="1" applyBorder="1" applyAlignment="1">
      <alignment horizontal="center"/>
    </xf>
    <xf numFmtId="0" fontId="20" fillId="10" borderId="32" xfId="5">
      <alignment horizontal="center"/>
    </xf>
    <xf numFmtId="2" fontId="2" fillId="4" borderId="56" xfId="9"/>
    <xf numFmtId="0" fontId="0" fillId="12" borderId="39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0" fillId="3" borderId="19" xfId="0" applyFill="1" applyBorder="1" applyAlignment="1">
      <alignment horizontal="center"/>
    </xf>
  </cellXfs>
  <cellStyles count="12">
    <cellStyle name="Calc Output" xfId="9"/>
    <cellStyle name="Calc value" xfId="3"/>
    <cellStyle name="Database" xfId="4"/>
    <cellStyle name="Followed Hyperlink" xfId="11" builtinId="9" hidden="1"/>
    <cellStyle name="Heading" xfId="5"/>
    <cellStyle name="Hyperlink" xfId="10" builtinId="8" hidden="1"/>
    <cellStyle name="Normal" xfId="0" builtinId="0"/>
    <cellStyle name="Normal 2" xfId="8"/>
    <cellStyle name="Percent" xfId="1" builtinId="5"/>
    <cellStyle name="Sub Heading" xfId="6"/>
    <cellStyle name="Total" xfId="2" builtinId="25" customBuiltin="1"/>
    <cellStyle name="User input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CCFF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66FF"/>
      <color rgb="FFCC6600"/>
      <color rgb="FFFF00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Surface Lighting (One Orbit)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strRef>
              <c:f>Lighting!$M$146</c:f>
              <c:strCache>
                <c:ptCount val="1"/>
                <c:pt idx="0">
                  <c:v>Nadir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square"/>
            <c:size val="5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Lighting!$M$147:$M$218</c:f>
              <c:numCache>
                <c:formatCode>0.00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8.7155280370045218E-2</c:v>
                </c:pt>
                <c:pt idx="20">
                  <c:v>0.17364769651672557</c:v>
                </c:pt>
                <c:pt idx="21">
                  <c:v>0.25881854958100053</c:v>
                </c:pt>
                <c:pt idx="22">
                  <c:v>0.34201963830616144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0.34202129110301355</c:v>
                </c:pt>
                <c:pt idx="51">
                  <c:v>0.25882024851868696</c:v>
                </c:pt>
                <c:pt idx="52">
                  <c:v>0.17364942866531183</c:v>
                </c:pt>
                <c:pt idx="53">
                  <c:v>8.7157032546842025E-2</c:v>
                </c:pt>
                <c:pt idx="54">
                  <c:v>1.3191549708323648E-6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1F-4E93-B640-EBACB7039452}"/>
            </c:ext>
          </c:extLst>
        </c:ser>
        <c:ser>
          <c:idx val="5"/>
          <c:order val="1"/>
          <c:tx>
            <c:strRef>
              <c:f>Lighting!$N$146</c:f>
              <c:strCache>
                <c:ptCount val="1"/>
                <c:pt idx="0">
                  <c:v>Away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Lighting!$N$147:$N$218</c:f>
              <c:numCache>
                <c:formatCode>0.00</c:formatCode>
                <c:ptCount val="72"/>
                <c:pt idx="0">
                  <c:v>1</c:v>
                </c:pt>
                <c:pt idx="1">
                  <c:v>0.99619470022041856</c:v>
                </c:pt>
                <c:pt idx="2">
                  <c:v>0.98480776149538518</c:v>
                </c:pt>
                <c:pt idx="3">
                  <c:v>0.96592584525573089</c:v>
                </c:pt>
                <c:pt idx="4">
                  <c:v>0.93969265420484849</c:v>
                </c:pt>
                <c:pt idx="5">
                  <c:v>0.90630783865496201</c:v>
                </c:pt>
                <c:pt idx="6">
                  <c:v>0.86602547706854804</c:v>
                </c:pt>
                <c:pt idx="7">
                  <c:v>0.81915214236890299</c:v>
                </c:pt>
                <c:pt idx="8">
                  <c:v>0.76604456873638649</c:v>
                </c:pt>
                <c:pt idx="9">
                  <c:v>0.70710693664742696</c:v>
                </c:pt>
                <c:pt idx="10">
                  <c:v>0.64278779681876663</c:v>
                </c:pt>
                <c:pt idx="11">
                  <c:v>0.5735766564675735</c:v>
                </c:pt>
                <c:pt idx="12">
                  <c:v>0.50000025386803271</c:v>
                </c:pt>
                <c:pt idx="13">
                  <c:v>0.42261854955726719</c:v>
                </c:pt>
                <c:pt idx="14">
                  <c:v>0.34202046469992309</c:v>
                </c:pt>
                <c:pt idx="15">
                  <c:v>0.25881939904501328</c:v>
                </c:pt>
                <c:pt idx="16">
                  <c:v>0.17364856258605887</c:v>
                </c:pt>
                <c:pt idx="17">
                  <c:v>8.7156156453392225E-2</c:v>
                </c:pt>
                <c:pt idx="18">
                  <c:v>4.3971492059610713E-7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8.7154404276460609E-2</c:v>
                </c:pt>
                <c:pt idx="56">
                  <c:v>0.17364683043720402</c:v>
                </c:pt>
                <c:pt idx="57">
                  <c:v>0.25881770010692651</c:v>
                </c:pt>
                <c:pt idx="58">
                  <c:v>0.34201881190254191</c:v>
                </c:pt>
                <c:pt idx="59">
                  <c:v>0.42261695547937062</c:v>
                </c:pt>
                <c:pt idx="60">
                  <c:v>0.49999873064150918</c:v>
                </c:pt>
                <c:pt idx="61">
                  <c:v>0.57357521568509018</c:v>
                </c:pt>
                <c:pt idx="62">
                  <c:v>0.64278644944554164</c:v>
                </c:pt>
                <c:pt idx="63">
                  <c:v>0.70710569293777892</c:v>
                </c:pt>
                <c:pt idx="64">
                  <c:v>0.76604343815569131</c:v>
                </c:pt>
                <c:pt idx="65">
                  <c:v>0.81915113352155766</c:v>
                </c:pt>
                <c:pt idx="66">
                  <c:v>0.86602459763248585</c:v>
                </c:pt>
                <c:pt idx="67">
                  <c:v>0.90630709532321829</c:v>
                </c:pt>
                <c:pt idx="68">
                  <c:v>0.93969205263462374</c:v>
                </c:pt>
                <c:pt idx="69">
                  <c:v>0.96592539002533528</c:v>
                </c:pt>
                <c:pt idx="70">
                  <c:v>0.98480745606939502</c:v>
                </c:pt>
                <c:pt idx="71">
                  <c:v>0.99619454692330855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1F-4E93-B640-EBACB7039452}"/>
            </c:ext>
          </c:extLst>
        </c:ser>
        <c:ser>
          <c:idx val="6"/>
          <c:order val="2"/>
          <c:tx>
            <c:strRef>
              <c:f>Lighting!$O$146</c:f>
              <c:strCache>
                <c:ptCount val="1"/>
                <c:pt idx="0">
                  <c:v>Ram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triang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Lighting!$O$147:$O$218</c:f>
              <c:numCache>
                <c:formatCode>0.00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0.93969220303007095</c:v>
                </c:pt>
                <c:pt idx="51">
                  <c:v>0.96592550383519571</c:v>
                </c:pt>
                <c:pt idx="52">
                  <c:v>0.9848075324275074</c:v>
                </c:pt>
                <c:pt idx="53">
                  <c:v>0.9961945852485421</c:v>
                </c:pt>
                <c:pt idx="54">
                  <c:v>0.99999999999912981</c:v>
                </c:pt>
                <c:pt idx="55">
                  <c:v>0.99619481519145103</c:v>
                </c:pt>
                <c:pt idx="56">
                  <c:v>0.98480799056332169</c:v>
                </c:pt>
                <c:pt idx="57">
                  <c:v>0.96592618667722718</c:v>
                </c:pt>
                <c:pt idx="58">
                  <c:v>0.9396931053814821</c:v>
                </c:pt>
                <c:pt idx="59">
                  <c:v>0.9063083961530084</c:v>
                </c:pt>
                <c:pt idx="60">
                  <c:v>0.86602613664511296</c:v>
                </c:pt>
                <c:pt idx="61">
                  <c:v>0.81915289900421318</c:v>
                </c:pt>
                <c:pt idx="62">
                  <c:v>0.76604541667199355</c:v>
                </c:pt>
                <c:pt idx="63">
                  <c:v>0.70710786943003268</c:v>
                </c:pt>
                <c:pt idx="64">
                  <c:v>0.64278880734933597</c:v>
                </c:pt>
                <c:pt idx="65">
                  <c:v>0.5735777370553633</c:v>
                </c:pt>
                <c:pt idx="66">
                  <c:v>0.50000139628912166</c:v>
                </c:pt>
                <c:pt idx="67">
                  <c:v>0.42261974511714606</c:v>
                </c:pt>
                <c:pt idx="68">
                  <c:v>0.34202170429966428</c:v>
                </c:pt>
                <c:pt idx="69">
                  <c:v>0.2588206732505195</c:v>
                </c:pt>
                <c:pt idx="70">
                  <c:v>0.1736498616998623</c:v>
                </c:pt>
                <c:pt idx="71">
                  <c:v>8.7157470588457894E-2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1F-4E93-B640-EBACB7039452}"/>
            </c:ext>
          </c:extLst>
        </c:ser>
        <c:ser>
          <c:idx val="7"/>
          <c:order val="3"/>
          <c:tx>
            <c:strRef>
              <c:f>Lighting!$P$146</c:f>
              <c:strCache>
                <c:ptCount val="1"/>
                <c:pt idx="0">
                  <c:v>Left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x"/>
            <c:size val="5"/>
            <c:spPr>
              <a:noFill/>
              <a:ln>
                <a:solidFill>
                  <a:srgbClr val="00B0F0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Lighting!$P$147:$P$218</c:f>
              <c:numCache>
                <c:formatCode>0.00</c:formatCode>
                <c:ptCount val="72"/>
                <c:pt idx="0">
                  <c:v>5.1034119692781727E-12</c:v>
                </c:pt>
                <c:pt idx="1">
                  <c:v>5.0749790364845539E-12</c:v>
                </c:pt>
                <c:pt idx="2">
                  <c:v>5.0079224467016562E-12</c:v>
                </c:pt>
                <c:pt idx="3">
                  <c:v>4.9027525410538314E-12</c:v>
                </c:pt>
                <c:pt idx="4">
                  <c:v>4.7602697260291966E-12</c:v>
                </c:pt>
                <c:pt idx="5">
                  <c:v>4.5815583819029434E-12</c:v>
                </c:pt>
                <c:pt idx="6">
                  <c:v>4.3679786099485236E-12</c:v>
                </c:pt>
                <c:pt idx="7">
                  <c:v>4.1211558812454433E-12</c:v>
                </c:pt>
                <c:pt idx="8">
                  <c:v>3.8429686658624583E-12</c:v>
                </c:pt>
                <c:pt idx="9">
                  <c:v>3.5355341365655851E-12</c:v>
                </c:pt>
                <c:pt idx="10">
                  <c:v>3.2011920558543421E-12</c:v>
                </c:pt>
                <c:pt idx="11">
                  <c:v>2.8424869689555928E-12</c:v>
                </c:pt>
                <c:pt idx="12">
                  <c:v>2.4621488382970904E-12</c:v>
                </c:pt>
                <c:pt idx="13">
                  <c:v>2.0630722668440502E-12</c:v>
                </c:pt>
                <c:pt idx="14">
                  <c:v>1.648294468421743E-12</c:v>
                </c:pt>
                <c:pt idx="15">
                  <c:v>1.2209721526832417E-12</c:v>
                </c:pt>
                <c:pt idx="16">
                  <c:v>7.8435750064168766E-13</c:v>
                </c:pt>
                <c:pt idx="17">
                  <c:v>3.4177341360779948E-13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1.0341221708363615E-13</c:v>
                </c:pt>
                <c:pt idx="55">
                  <c:v>5.478103874190211E-13</c:v>
                </c:pt>
                <c:pt idx="56">
                  <c:v>9.8803939018176675E-13</c:v>
                </c:pt>
                <c:pt idx="57">
                  <c:v>1.4207488166536124E-12</c:v>
                </c:pt>
                <c:pt idx="58">
                  <c:v>1.842645486631835E-12</c:v>
                </c:pt>
                <c:pt idx="59">
                  <c:v>2.2505185115205199E-12</c:v>
                </c:pt>
                <c:pt idx="60">
                  <c:v>2.6412637311329999E-12</c:v>
                </c:pt>
                <c:pt idx="61">
                  <c:v>3.0119073382266409E-12</c:v>
                </c:pt>
                <c:pt idx="62">
                  <c:v>3.3596285109729865E-12</c:v>
                </c:pt>
                <c:pt idx="63">
                  <c:v>3.6817808811164838E-12</c:v>
                </c:pt>
                <c:pt idx="64">
                  <c:v>3.9759126744361315E-12</c:v>
                </c:pt>
                <c:pt idx="65">
                  <c:v>4.2397853702289622E-12</c:v>
                </c:pt>
                <c:pt idx="66">
                  <c:v>4.4713907378054304E-12</c:v>
                </c:pt>
                <c:pt idx="67">
                  <c:v>4.668966120338646E-12</c:v>
                </c:pt>
                <c:pt idx="68">
                  <c:v>4.8310078497481659E-12</c:v>
                </c:pt>
                <c:pt idx="69">
                  <c:v>4.9562826905229371E-12</c:v>
                </c:pt>
                <c:pt idx="70">
                  <c:v>5.0438372253889943E-12</c:v>
                </c:pt>
                <c:pt idx="71">
                  <c:v>5.0930051113913093E-12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1F-4E93-B640-EBACB7039452}"/>
            </c:ext>
          </c:extLst>
        </c:ser>
        <c:ser>
          <c:idx val="8"/>
          <c:order val="4"/>
          <c:tx>
            <c:strRef>
              <c:f>Lighting!$Q$146</c:f>
              <c:strCache>
                <c:ptCount val="1"/>
                <c:pt idx="0">
                  <c:v>Tail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Lighting!$Q$147:$Q$218</c:f>
              <c:numCache>
                <c:formatCode>0.00</c:formatCode>
                <c:ptCount val="72"/>
                <c:pt idx="0">
                  <c:v>1.0206823938558457E-11</c:v>
                </c:pt>
                <c:pt idx="1">
                  <c:v>8.7155718421895137E-2</c:v>
                </c:pt>
                <c:pt idx="2">
                  <c:v>0.17364812956146097</c:v>
                </c:pt>
                <c:pt idx="3">
                  <c:v>0.25881897432289142</c:v>
                </c:pt>
                <c:pt idx="4">
                  <c:v>0.34202005151266701</c:v>
                </c:pt>
                <c:pt idx="5">
                  <c:v>0.4226181510494797</c:v>
                </c:pt>
                <c:pt idx="6">
                  <c:v>0.49999987307259725</c:v>
                </c:pt>
                <c:pt idx="7">
                  <c:v>0.57357629628257134</c:v>
                </c:pt>
                <c:pt idx="8">
                  <c:v>0.64278745998542142</c:v>
                </c:pt>
                <c:pt idx="9">
                  <c:v>0.70710662572924243</c:v>
                </c:pt>
                <c:pt idx="10">
                  <c:v>0.76604428609963648</c:v>
                </c:pt>
                <c:pt idx="11">
                  <c:v>0.81915189016462309</c:v>
                </c:pt>
                <c:pt idx="12">
                  <c:v>0.86602525721616375</c:v>
                </c:pt>
                <c:pt idx="13">
                  <c:v>0.90630765282768144</c:v>
                </c:pt>
                <c:pt idx="14">
                  <c:v>0.93969250381692904</c:v>
                </c:pt>
                <c:pt idx="15">
                  <c:v>0.96592573145171468</c:v>
                </c:pt>
                <c:pt idx="16">
                  <c:v>0.98480768514138883</c:v>
                </c:pt>
                <c:pt idx="17">
                  <c:v>0.99619466189754191</c:v>
                </c:pt>
                <c:pt idx="18">
                  <c:v>0.99999999999990341</c:v>
                </c:pt>
                <c:pt idx="19">
                  <c:v>0.9961947385439921</c:v>
                </c:pt>
                <c:pt idx="20">
                  <c:v>0.9848078378509636</c:v>
                </c:pt>
                <c:pt idx="21">
                  <c:v>0.96592595906220236</c:v>
                </c:pt>
                <c:pt idx="22">
                  <c:v>0.93969280459607762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F1F-4E93-B640-EBACB7039452}"/>
            </c:ext>
          </c:extLst>
        </c:ser>
        <c:ser>
          <c:idx val="9"/>
          <c:order val="5"/>
          <c:tx>
            <c:strRef>
              <c:f>Lighting!$R$146</c:f>
              <c:strCache>
                <c:ptCount val="1"/>
                <c:pt idx="0">
                  <c:v>Right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Lighting!$R$147:$R$218</c:f>
              <c:numCache>
                <c:formatCode>0.00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3.417738450423534E-13</c:v>
                </c:pt>
                <c:pt idx="20">
                  <c:v>7.8435791918834879E-13</c:v>
                </c:pt>
                <c:pt idx="21">
                  <c:v>1.2209725551566167E-12</c:v>
                </c:pt>
                <c:pt idx="22">
                  <c:v>1.6482948517587669E-12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1.8426441500929999E-12</c:v>
                </c:pt>
                <c:pt idx="51">
                  <c:v>1.4207474681077176E-12</c:v>
                </c:pt>
                <c:pt idx="52">
                  <c:v>9.8803803989206131E-13</c:v>
                </c:pt>
                <c:pt idx="53">
                  <c:v>5.4780904566202487E-13</c:v>
                </c:pt>
                <c:pt idx="54">
                  <c:v>1.0341089407093081E-13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F1F-4E93-B640-EBACB7039452}"/>
            </c:ext>
          </c:extLst>
        </c:ser>
        <c:ser>
          <c:idx val="10"/>
          <c:order val="6"/>
          <c:tx>
            <c:strRef>
              <c:f>Lighting!$S$146</c:f>
              <c:strCache>
                <c:ptCount val="1"/>
              </c:strCache>
            </c:strRef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dash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Lighting!$S$147:$S$218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F1F-4E93-B640-EBACB7039452}"/>
            </c:ext>
          </c:extLst>
        </c:ser>
        <c:ser>
          <c:idx val="11"/>
          <c:order val="7"/>
          <c:tx>
            <c:strRef>
              <c:f>Lighting!$T$146</c:f>
              <c:strCache>
                <c:ptCount val="1"/>
              </c:strCache>
            </c:strRef>
          </c:tx>
          <c:spPr>
            <a:ln w="19050">
              <a:solidFill>
                <a:srgbClr val="FF00FF"/>
              </a:solidFill>
            </a:ln>
          </c:spPr>
          <c:marker>
            <c:symbol val="plus"/>
            <c:size val="5"/>
            <c:spPr>
              <a:ln>
                <a:solidFill>
                  <a:srgbClr val="FF00FF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Lighting!$T$147:$T$218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F1F-4E93-B640-EBACB7039452}"/>
            </c:ext>
          </c:extLst>
        </c:ser>
        <c:ser>
          <c:idx val="12"/>
          <c:order val="8"/>
          <c:tx>
            <c:strRef>
              <c:f>Lighting!$U$146</c:f>
              <c:strCache>
                <c:ptCount val="1"/>
              </c:strCache>
            </c:strRef>
          </c:tx>
          <c:spPr>
            <a:ln w="19050">
              <a:solidFill>
                <a:srgbClr val="CC6600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Lighting!$U$147:$U$218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F1F-4E93-B640-EBACB7039452}"/>
            </c:ext>
          </c:extLst>
        </c:ser>
        <c:ser>
          <c:idx val="0"/>
          <c:order val="9"/>
          <c:tx>
            <c:strRef>
              <c:f>Lighting!$V$146</c:f>
              <c:strCache>
                <c:ptCount val="1"/>
              </c:strCache>
            </c:strRef>
          </c:tx>
          <c:spPr>
            <a:ln w="19050"/>
          </c:spP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Lighting!$V$147:$V$218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F1F-4E93-B640-EBACB7039452}"/>
            </c:ext>
          </c:extLst>
        </c:ser>
        <c:ser>
          <c:idx val="1"/>
          <c:order val="10"/>
          <c:tx>
            <c:strRef>
              <c:f>Lighting!$W$146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Lighting!$H$147:$H$218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Lighting!$W$147:$W$218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F1F-4E93-B640-EBACB7039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67264"/>
        <c:axId val="31869184"/>
      </c:scatterChart>
      <c:valAx>
        <c:axId val="31867264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True Anomaly (Degrees)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869184"/>
        <c:crosses val="autoZero"/>
        <c:crossBetween val="midCat"/>
      </c:valAx>
      <c:valAx>
        <c:axId val="31869184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/>
                  <a:t>Direction Cosine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1867264"/>
        <c:crosses val="autoZero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r"/>
      <c:layout>
        <c:manualLayout>
          <c:xMode val="edge"/>
          <c:yMode val="edge"/>
          <c:x val="0.844609612017579"/>
          <c:y val="0.14581551544646701"/>
          <c:w val="0.12205530119908301"/>
          <c:h val="0.2694896166788"/>
        </c:manualLayout>
      </c:layout>
      <c:overlay val="0"/>
      <c:spPr>
        <a:solidFill>
          <a:sysClr val="window" lastClr="FFFFFF">
            <a:lumMod val="7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Orbit Averaged Surface Lighting 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strRef>
              <c:f>Lighting!$O$221</c:f>
              <c:strCache>
                <c:ptCount val="1"/>
                <c:pt idx="0">
                  <c:v>Nadir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square"/>
            <c:size val="5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Lighting!$O$222:$O$293</c:f>
              <c:numCache>
                <c:formatCode>0.00</c:formatCode>
                <c:ptCount val="72"/>
                <c:pt idx="0">
                  <c:v>2.4271696968489548E-2</c:v>
                </c:pt>
                <c:pt idx="1">
                  <c:v>2.4656648093085088E-2</c:v>
                </c:pt>
                <c:pt idx="2">
                  <c:v>2.4367553460842083E-2</c:v>
                </c:pt>
                <c:pt idx="3">
                  <c:v>2.3878156131426503E-2</c:v>
                </c:pt>
                <c:pt idx="4">
                  <c:v>2.3880148316849592E-2</c:v>
                </c:pt>
                <c:pt idx="5">
                  <c:v>2.3233332819464877E-2</c:v>
                </c:pt>
                <c:pt idx="6">
                  <c:v>2.2371615536873609E-2</c:v>
                </c:pt>
                <c:pt idx="7">
                  <c:v>2.7074261116266783E-2</c:v>
                </c:pt>
                <c:pt idx="8">
                  <c:v>2.6207318856952048E-2</c:v>
                </c:pt>
                <c:pt idx="9">
                  <c:v>2.5275179868086049E-2</c:v>
                </c:pt>
                <c:pt idx="10">
                  <c:v>2.9420874020061234E-2</c:v>
                </c:pt>
                <c:pt idx="11">
                  <c:v>3.3360179829337339E-2</c:v>
                </c:pt>
                <c:pt idx="12">
                  <c:v>3.1995718199478509E-2</c:v>
                </c:pt>
                <c:pt idx="13">
                  <c:v>3.5934099639947231E-2</c:v>
                </c:pt>
                <c:pt idx="14">
                  <c:v>3.4342990204993262E-2</c:v>
                </c:pt>
                <c:pt idx="15">
                  <c:v>3.8578743052384637E-2</c:v>
                </c:pt>
                <c:pt idx="16">
                  <c:v>3.7565095301750374E-2</c:v>
                </c:pt>
                <c:pt idx="17">
                  <c:v>3.696047557732686E-2</c:v>
                </c:pt>
                <c:pt idx="18">
                  <c:v>4.1798226747669393E-2</c:v>
                </c:pt>
                <c:pt idx="19">
                  <c:v>3.6960460534367162E-2</c:v>
                </c:pt>
                <c:pt idx="20">
                  <c:v>3.756504772401003E-2</c:v>
                </c:pt>
                <c:pt idx="21">
                  <c:v>3.8578680438839219E-2</c:v>
                </c:pt>
                <c:pt idx="22">
                  <c:v>3.4342886097355349E-2</c:v>
                </c:pt>
                <c:pt idx="23">
                  <c:v>3.5933977875392584E-2</c:v>
                </c:pt>
                <c:pt idx="24">
                  <c:v>3.1995614539099014E-2</c:v>
                </c:pt>
                <c:pt idx="25">
                  <c:v>3.3360072248828976E-2</c:v>
                </c:pt>
                <c:pt idx="26">
                  <c:v>2.9420787246432076E-2</c:v>
                </c:pt>
                <c:pt idx="27">
                  <c:v>2.5275080784083595E-2</c:v>
                </c:pt>
                <c:pt idx="28">
                  <c:v>2.6207215532926945E-2</c:v>
                </c:pt>
                <c:pt idx="29">
                  <c:v>2.7074153520403044E-2</c:v>
                </c:pt>
                <c:pt idx="30">
                  <c:v>2.2371494028516906E-2</c:v>
                </c:pt>
                <c:pt idx="31">
                  <c:v>2.3233252388565835E-2</c:v>
                </c:pt>
                <c:pt idx="32">
                  <c:v>2.388002244285509E-2</c:v>
                </c:pt>
                <c:pt idx="33">
                  <c:v>2.3878026829119072E-2</c:v>
                </c:pt>
                <c:pt idx="34">
                  <c:v>2.4367468850401208E-2</c:v>
                </c:pt>
                <c:pt idx="35">
                  <c:v>2.4656517237215247E-2</c:v>
                </c:pt>
                <c:pt idx="36">
                  <c:v>2.4271587532997393E-2</c:v>
                </c:pt>
                <c:pt idx="37">
                  <c:v>2.4656538892740925E-2</c:v>
                </c:pt>
                <c:pt idx="38">
                  <c:v>2.4367446334897184E-2</c:v>
                </c:pt>
                <c:pt idx="39">
                  <c:v>2.3878048589556829E-2</c:v>
                </c:pt>
                <c:pt idx="40">
                  <c:v>2.3880042452113219E-2</c:v>
                </c:pt>
                <c:pt idx="41">
                  <c:v>2.3233230464375802E-2</c:v>
                </c:pt>
                <c:pt idx="42">
                  <c:v>2.2371513981398396E-2</c:v>
                </c:pt>
                <c:pt idx="43">
                  <c:v>2.7074152846700471E-2</c:v>
                </c:pt>
                <c:pt idx="44">
                  <c:v>2.6207213987531629E-2</c:v>
                </c:pt>
                <c:pt idx="45">
                  <c:v>2.5275078671035199E-2</c:v>
                </c:pt>
                <c:pt idx="46">
                  <c:v>2.9420768425004698E-2</c:v>
                </c:pt>
                <c:pt idx="47">
                  <c:v>3.3360068992635675E-2</c:v>
                </c:pt>
                <c:pt idx="48">
                  <c:v>3.1995611867292044E-2</c:v>
                </c:pt>
                <c:pt idx="49">
                  <c:v>3.5933988970895822E-2</c:v>
                </c:pt>
                <c:pt idx="50">
                  <c:v>3.4342883622052664E-2</c:v>
                </c:pt>
                <c:pt idx="51">
                  <c:v>3.8578662502770644E-2</c:v>
                </c:pt>
                <c:pt idx="52">
                  <c:v>3.7565032567118642E-2</c:v>
                </c:pt>
                <c:pt idx="53">
                  <c:v>3.6960443771257456E-2</c:v>
                </c:pt>
                <c:pt idx="54">
                  <c:v>4.1798218954258747E-2</c:v>
                </c:pt>
                <c:pt idx="55">
                  <c:v>3.6960476812713389E-2</c:v>
                </c:pt>
                <c:pt idx="56">
                  <c:v>3.7565095108414812E-2</c:v>
                </c:pt>
                <c:pt idx="57">
                  <c:v>3.8578745932551443E-2</c:v>
                </c:pt>
                <c:pt idx="58">
                  <c:v>3.4342978033103801E-2</c:v>
                </c:pt>
                <c:pt idx="59">
                  <c:v>3.5934088547095323E-2</c:v>
                </c:pt>
                <c:pt idx="60">
                  <c:v>3.1995720873621472E-2</c:v>
                </c:pt>
                <c:pt idx="61">
                  <c:v>3.3360183087742641E-2</c:v>
                </c:pt>
                <c:pt idx="62">
                  <c:v>2.9420892843379006E-2</c:v>
                </c:pt>
                <c:pt idx="63">
                  <c:v>2.5275181982725894E-2</c:v>
                </c:pt>
                <c:pt idx="64">
                  <c:v>2.6207320403792707E-2</c:v>
                </c:pt>
                <c:pt idx="65">
                  <c:v>2.7074261791256438E-2</c:v>
                </c:pt>
                <c:pt idx="66">
                  <c:v>2.2371595585004612E-2</c:v>
                </c:pt>
                <c:pt idx="67">
                  <c:v>2.323335474450805E-2</c:v>
                </c:pt>
                <c:pt idx="68">
                  <c:v>2.3880128308291022E-2</c:v>
                </c:pt>
                <c:pt idx="69">
                  <c:v>2.3878134371515109E-2</c:v>
                </c:pt>
                <c:pt idx="70">
                  <c:v>2.4367575976695359E-2</c:v>
                </c:pt>
                <c:pt idx="71">
                  <c:v>2.4656626437743325E-2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70-476E-A676-F9A085400885}"/>
            </c:ext>
          </c:extLst>
        </c:ser>
        <c:ser>
          <c:idx val="5"/>
          <c:order val="1"/>
          <c:tx>
            <c:strRef>
              <c:f>Lighting!$P$221</c:f>
              <c:strCache>
                <c:ptCount val="1"/>
                <c:pt idx="0">
                  <c:v>Away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Lighting!$P$222:$P$293</c:f>
              <c:numCache>
                <c:formatCode>0.00</c:formatCode>
                <c:ptCount val="72"/>
                <c:pt idx="0">
                  <c:v>0.32258806626847319</c:v>
                </c:pt>
                <c:pt idx="1">
                  <c:v>0.32213303093992746</c:v>
                </c:pt>
                <c:pt idx="2">
                  <c:v>0.31987518199453752</c:v>
                </c:pt>
                <c:pt idx="3">
                  <c:v>0.31608950293102417</c:v>
                </c:pt>
                <c:pt idx="4">
                  <c:v>0.31127265813008126</c:v>
                </c:pt>
                <c:pt idx="5">
                  <c:v>0.30492221645361162</c:v>
                </c:pt>
                <c:pt idx="6">
                  <c:v>0.29724563969674489</c:v>
                </c:pt>
                <c:pt idx="7">
                  <c:v>0.28896958759607849</c:v>
                </c:pt>
                <c:pt idx="8">
                  <c:v>0.27971652772166494</c:v>
                </c:pt>
                <c:pt idx="9">
                  <c:v>0.26976760982914982</c:v>
                </c:pt>
                <c:pt idx="10">
                  <c:v>0.25942512700114978</c:v>
                </c:pt>
                <c:pt idx="11">
                  <c:v>0.24900333062440583</c:v>
                </c:pt>
                <c:pt idx="12">
                  <c:v>0.23881888201973783</c:v>
                </c:pt>
                <c:pt idx="13">
                  <c:v>0.22918123084714065</c:v>
                </c:pt>
                <c:pt idx="14">
                  <c:v>0.22038321263326702</c:v>
                </c:pt>
                <c:pt idx="15">
                  <c:v>0.21332115910228794</c:v>
                </c:pt>
                <c:pt idx="16">
                  <c:v>0.20771621576979579</c:v>
                </c:pt>
                <c:pt idx="17">
                  <c:v>0.20437299419337865</c:v>
                </c:pt>
                <c:pt idx="18">
                  <c:v>0.20301140871987933</c:v>
                </c:pt>
                <c:pt idx="19">
                  <c:v>0.20437303139643542</c:v>
                </c:pt>
                <c:pt idx="20">
                  <c:v>0.20771626627775425</c:v>
                </c:pt>
                <c:pt idx="21">
                  <c:v>0.21332124986064741</c:v>
                </c:pt>
                <c:pt idx="22">
                  <c:v>0.22038330937900158</c:v>
                </c:pt>
                <c:pt idx="23">
                  <c:v>0.22918136054083516</c:v>
                </c:pt>
                <c:pt idx="24">
                  <c:v>0.23881904071886456</c:v>
                </c:pt>
                <c:pt idx="25">
                  <c:v>0.24900351399792506</c:v>
                </c:pt>
                <c:pt idx="26">
                  <c:v>0.25942533043535138</c:v>
                </c:pt>
                <c:pt idx="27">
                  <c:v>0.26976782853852777</c:v>
                </c:pt>
                <c:pt idx="28">
                  <c:v>0.27971675686168074</c:v>
                </c:pt>
                <c:pt idx="29">
                  <c:v>0.28896982237463531</c:v>
                </c:pt>
                <c:pt idx="30">
                  <c:v>0.29724587548125747</c:v>
                </c:pt>
                <c:pt idx="31">
                  <c:v>0.30492249404753557</c:v>
                </c:pt>
                <c:pt idx="32">
                  <c:v>0.31127292929527062</c:v>
                </c:pt>
                <c:pt idx="33">
                  <c:v>0.31608976381543397</c:v>
                </c:pt>
                <c:pt idx="34">
                  <c:v>0.31987547675271161</c:v>
                </c:pt>
                <c:pt idx="35">
                  <c:v>0.32213330946113067</c:v>
                </c:pt>
                <c:pt idx="36">
                  <c:v>0.32258834919966894</c:v>
                </c:pt>
                <c:pt idx="37">
                  <c:v>0.32213331257008038</c:v>
                </c:pt>
                <c:pt idx="38">
                  <c:v>0.31987546018809837</c:v>
                </c:pt>
                <c:pt idx="39">
                  <c:v>0.31608977403209565</c:v>
                </c:pt>
                <c:pt idx="40">
                  <c:v>0.31127292163755821</c:v>
                </c:pt>
                <c:pt idx="41">
                  <c:v>0.30492247040274095</c:v>
                </c:pt>
                <c:pt idx="42">
                  <c:v>0.29724588054895634</c:v>
                </c:pt>
                <c:pt idx="43">
                  <c:v>0.28896981517497106</c:v>
                </c:pt>
                <c:pt idx="44">
                  <c:v>0.27971674035710975</c:v>
                </c:pt>
                <c:pt idx="45">
                  <c:v>0.26976780597422551</c:v>
                </c:pt>
                <c:pt idx="46">
                  <c:v>0.25942530524060992</c:v>
                </c:pt>
                <c:pt idx="47">
                  <c:v>0.24900348968195585</c:v>
                </c:pt>
                <c:pt idx="48">
                  <c:v>0.2388190207641738</c:v>
                </c:pt>
                <c:pt idx="49">
                  <c:v>0.22918134829741046</c:v>
                </c:pt>
                <c:pt idx="50">
                  <c:v>0.22038330796252389</c:v>
                </c:pt>
                <c:pt idx="51">
                  <c:v>0.21332123393942945</c:v>
                </c:pt>
                <c:pt idx="52">
                  <c:v>0.20771626735156526</c:v>
                </c:pt>
                <c:pt idx="53">
                  <c:v>0.20437302457018033</c:v>
                </c:pt>
                <c:pt idx="54">
                  <c:v>0.20301141651123975</c:v>
                </c:pt>
                <c:pt idx="55">
                  <c:v>0.20437301654305765</c:v>
                </c:pt>
                <c:pt idx="56">
                  <c:v>0.20771623004196843</c:v>
                </c:pt>
                <c:pt idx="57">
                  <c:v>0.2133211900752576</c:v>
                </c:pt>
                <c:pt idx="58">
                  <c:v>0.22038322869271024</c:v>
                </c:pt>
                <c:pt idx="59">
                  <c:v>0.22918125721330446</c:v>
                </c:pt>
                <c:pt idx="60">
                  <c:v>0.23881891546945855</c:v>
                </c:pt>
                <c:pt idx="61">
                  <c:v>0.24900336770499104</c:v>
                </c:pt>
                <c:pt idx="62">
                  <c:v>0.25942516413294697</c:v>
                </c:pt>
                <c:pt idx="63">
                  <c:v>0.26976764341209952</c:v>
                </c:pt>
                <c:pt idx="64">
                  <c:v>0.27971655424261682</c:v>
                </c:pt>
                <c:pt idx="65">
                  <c:v>0.28896960373362673</c:v>
                </c:pt>
                <c:pt idx="66">
                  <c:v>0.29724564242041085</c:v>
                </c:pt>
                <c:pt idx="67">
                  <c:v>0.30492224668395629</c:v>
                </c:pt>
                <c:pt idx="68">
                  <c:v>0.31127267111740847</c:v>
                </c:pt>
                <c:pt idx="69">
                  <c:v>0.31608949674748071</c:v>
                </c:pt>
                <c:pt idx="70">
                  <c:v>0.3198752012650789</c:v>
                </c:pt>
                <c:pt idx="71">
                  <c:v>0.32213302918912201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70-476E-A676-F9A085400885}"/>
            </c:ext>
          </c:extLst>
        </c:ser>
        <c:ser>
          <c:idx val="6"/>
          <c:order val="2"/>
          <c:tx>
            <c:strRef>
              <c:f>Lighting!$Q$221</c:f>
              <c:strCache>
                <c:ptCount val="1"/>
                <c:pt idx="0">
                  <c:v>Ram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triang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Lighting!$Q$222:$Q$293</c:f>
              <c:numCache>
                <c:formatCode>0.00</c:formatCode>
                <c:ptCount val="72"/>
                <c:pt idx="0">
                  <c:v>0.22307774698461635</c:v>
                </c:pt>
                <c:pt idx="1">
                  <c:v>0.22747677773423447</c:v>
                </c:pt>
                <c:pt idx="2">
                  <c:v>0.21770406351206809</c:v>
                </c:pt>
                <c:pt idx="3">
                  <c:v>0.21965676589634889</c:v>
                </c:pt>
                <c:pt idx="4">
                  <c:v>0.2204235492976073</c:v>
                </c:pt>
                <c:pt idx="5">
                  <c:v>0.20747041101210975</c:v>
                </c:pt>
                <c:pt idx="6">
                  <c:v>0.20562814423935688</c:v>
                </c:pt>
                <c:pt idx="7">
                  <c:v>0.20261902113680527</c:v>
                </c:pt>
                <c:pt idx="8">
                  <c:v>0.19821998579975109</c:v>
                </c:pt>
                <c:pt idx="9">
                  <c:v>0.19256470052935434</c:v>
                </c:pt>
                <c:pt idx="10">
                  <c:v>0.18582499813569539</c:v>
                </c:pt>
                <c:pt idx="11">
                  <c:v>0.18779149765332592</c:v>
                </c:pt>
                <c:pt idx="12">
                  <c:v>0.17917546521079344</c:v>
                </c:pt>
                <c:pt idx="13">
                  <c:v>0.17874001543218304</c:v>
                </c:pt>
                <c:pt idx="14">
                  <c:v>0.16952215543734819</c:v>
                </c:pt>
                <c:pt idx="15">
                  <c:v>0.16869743704190876</c:v>
                </c:pt>
                <c:pt idx="16">
                  <c:v>0.16068404710186526</c:v>
                </c:pt>
                <c:pt idx="17">
                  <c:v>0.16140403892862945</c:v>
                </c:pt>
                <c:pt idx="18">
                  <c:v>0.16335739027132404</c:v>
                </c:pt>
                <c:pt idx="19">
                  <c:v>0.16019265000014085</c:v>
                </c:pt>
                <c:pt idx="20">
                  <c:v>0.166173494085505</c:v>
                </c:pt>
                <c:pt idx="21">
                  <c:v>0.16697995882762065</c:v>
                </c:pt>
                <c:pt idx="22">
                  <c:v>0.16938206800875033</c:v>
                </c:pt>
                <c:pt idx="23">
                  <c:v>0.17355358107562974</c:v>
                </c:pt>
                <c:pt idx="24">
                  <c:v>0.17905322948648514</c:v>
                </c:pt>
                <c:pt idx="25">
                  <c:v>0.18571390919354067</c:v>
                </c:pt>
                <c:pt idx="26">
                  <c:v>0.19333323880947823</c:v>
                </c:pt>
                <c:pt idx="27">
                  <c:v>0.19121210448832993</c:v>
                </c:pt>
                <c:pt idx="28">
                  <c:v>0.1997103596328699</c:v>
                </c:pt>
                <c:pt idx="29">
                  <c:v>0.20847492032042644</c:v>
                </c:pt>
                <c:pt idx="30">
                  <c:v>0.20547461571330242</c:v>
                </c:pt>
                <c:pt idx="31">
                  <c:v>0.21413175996514788</c:v>
                </c:pt>
                <c:pt idx="32">
                  <c:v>0.209891598589345</c:v>
                </c:pt>
                <c:pt idx="33">
                  <c:v>0.2174712620850697</c:v>
                </c:pt>
                <c:pt idx="34">
                  <c:v>0.22457502251861716</c:v>
                </c:pt>
                <c:pt idx="35">
                  <c:v>0.21787564484465707</c:v>
                </c:pt>
                <c:pt idx="36">
                  <c:v>0.22307762589446267</c:v>
                </c:pt>
                <c:pt idx="37">
                  <c:v>0.22747663791360936</c:v>
                </c:pt>
                <c:pt idx="38">
                  <c:v>0.21770392512674869</c:v>
                </c:pt>
                <c:pt idx="39">
                  <c:v>0.21965662121070578</c:v>
                </c:pt>
                <c:pt idx="40">
                  <c:v>0.22042341156251105</c:v>
                </c:pt>
                <c:pt idx="41">
                  <c:v>0.20747027548307187</c:v>
                </c:pt>
                <c:pt idx="42">
                  <c:v>0.20562800308170903</c:v>
                </c:pt>
                <c:pt idx="43">
                  <c:v>0.20261888653548152</c:v>
                </c:pt>
                <c:pt idx="44">
                  <c:v>0.1982198572407666</c:v>
                </c:pt>
                <c:pt idx="45">
                  <c:v>0.19256457731513052</c:v>
                </c:pt>
                <c:pt idx="46">
                  <c:v>0.18582487940625583</c:v>
                </c:pt>
                <c:pt idx="47">
                  <c:v>0.18779138697648409</c:v>
                </c:pt>
                <c:pt idx="48">
                  <c:v>0.17917535668829865</c:v>
                </c:pt>
                <c:pt idx="49">
                  <c:v>0.1787399126702314</c:v>
                </c:pt>
                <c:pt idx="50">
                  <c:v>0.16952205203583678</c:v>
                </c:pt>
                <c:pt idx="51">
                  <c:v>0.1686973293041743</c:v>
                </c:pt>
                <c:pt idx="52">
                  <c:v>0.16068393166922196</c:v>
                </c:pt>
                <c:pt idx="53">
                  <c:v>0.16140392301368528</c:v>
                </c:pt>
                <c:pt idx="54">
                  <c:v>0.16335726704963838</c:v>
                </c:pt>
                <c:pt idx="55">
                  <c:v>0.16019253469288502</c:v>
                </c:pt>
                <c:pt idx="56">
                  <c:v>0.1661733852901616</c:v>
                </c:pt>
                <c:pt idx="57">
                  <c:v>0.16697985351412584</c:v>
                </c:pt>
                <c:pt idx="58">
                  <c:v>0.16938197780018838</c:v>
                </c:pt>
                <c:pt idx="59">
                  <c:v>0.17355349863963612</c:v>
                </c:pt>
                <c:pt idx="60">
                  <c:v>0.17905315669560512</c:v>
                </c:pt>
                <c:pt idx="61">
                  <c:v>0.18571384776921585</c:v>
                </c:pt>
                <c:pt idx="62">
                  <c:v>0.19333319029761314</c:v>
                </c:pt>
                <c:pt idx="63">
                  <c:v>0.1912120741564157</c:v>
                </c:pt>
                <c:pt idx="64">
                  <c:v>0.19971034501226947</c:v>
                </c:pt>
                <c:pt idx="65">
                  <c:v>0.20847492237545207</c:v>
                </c:pt>
                <c:pt idx="66">
                  <c:v>0.20547463932162865</c:v>
                </c:pt>
                <c:pt idx="67">
                  <c:v>0.21413178936775301</c:v>
                </c:pt>
                <c:pt idx="68">
                  <c:v>0.20989165045191194</c:v>
                </c:pt>
                <c:pt idx="69">
                  <c:v>0.21747133280365663</c:v>
                </c:pt>
                <c:pt idx="70">
                  <c:v>0.22457509889489266</c:v>
                </c:pt>
                <c:pt idx="71">
                  <c:v>0.2178757439679487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70-476E-A676-F9A085400885}"/>
            </c:ext>
          </c:extLst>
        </c:ser>
        <c:ser>
          <c:idx val="7"/>
          <c:order val="3"/>
          <c:tx>
            <c:strRef>
              <c:f>Lighting!$R$221</c:f>
              <c:strCache>
                <c:ptCount val="1"/>
                <c:pt idx="0">
                  <c:v>Left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x"/>
            <c:size val="5"/>
            <c:spPr>
              <a:noFill/>
              <a:ln>
                <a:solidFill>
                  <a:srgbClr val="00B0F0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Lighting!$R$222:$R$293</c:f>
              <c:numCache>
                <c:formatCode>0.00</c:formatCode>
                <c:ptCount val="72"/>
                <c:pt idx="0">
                  <c:v>1.647757353678563E-12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4.2563500327717738E-8</c:v>
                </c:pt>
                <c:pt idx="37">
                  <c:v>4.2929241715430881E-2</c:v>
                </c:pt>
                <c:pt idx="38">
                  <c:v>8.5531723398563797E-2</c:v>
                </c:pt>
                <c:pt idx="39">
                  <c:v>0.12748325698538815</c:v>
                </c:pt>
                <c:pt idx="40">
                  <c:v>0.16846456595672338</c:v>
                </c:pt>
                <c:pt idx="41">
                  <c:v>0.20816375778896079</c:v>
                </c:pt>
                <c:pt idx="42">
                  <c:v>0.24627869764462343</c:v>
                </c:pt>
                <c:pt idx="43">
                  <c:v>0.28879751464099523</c:v>
                </c:pt>
                <c:pt idx="44">
                  <c:v>0.32364554810181767</c:v>
                </c:pt>
                <c:pt idx="45">
                  <c:v>0.35603044338365419</c:v>
                </c:pt>
                <c:pt idx="46">
                  <c:v>0.39409063907973774</c:v>
                </c:pt>
                <c:pt idx="47">
                  <c:v>0.43037798261274784</c:v>
                </c:pt>
                <c:pt idx="48">
                  <c:v>0.45500498243427329</c:v>
                </c:pt>
                <c:pt idx="49">
                  <c:v>0.48608930939724448</c:v>
                </c:pt>
                <c:pt idx="50">
                  <c:v>0.50399493253625427</c:v>
                </c:pt>
                <c:pt idx="51">
                  <c:v>0.52863760174214525</c:v>
                </c:pt>
                <c:pt idx="52">
                  <c:v>0.53897140850945935</c:v>
                </c:pt>
                <c:pt idx="53">
                  <c:v>0.54520331719269532</c:v>
                </c:pt>
                <c:pt idx="54">
                  <c:v>0.55823161718521574</c:v>
                </c:pt>
                <c:pt idx="55">
                  <c:v>0.54520330482762547</c:v>
                </c:pt>
                <c:pt idx="56">
                  <c:v>0.53897138387342669</c:v>
                </c:pt>
                <c:pt idx="57">
                  <c:v>0.52863756502264225</c:v>
                </c:pt>
                <c:pt idx="58">
                  <c:v>0.50399488498321077</c:v>
                </c:pt>
                <c:pt idx="59">
                  <c:v>0.48608925063817598</c:v>
                </c:pt>
                <c:pt idx="60">
                  <c:v>0.45500491433510704</c:v>
                </c:pt>
                <c:pt idx="61">
                  <c:v>0.43037790449259361</c:v>
                </c:pt>
                <c:pt idx="62">
                  <c:v>0.39409055335702642</c:v>
                </c:pt>
                <c:pt idx="63">
                  <c:v>0.35603035108967168</c:v>
                </c:pt>
                <c:pt idx="64">
                  <c:v>0.32364544811509177</c:v>
                </c:pt>
                <c:pt idx="65">
                  <c:v>0.28879740772248585</c:v>
                </c:pt>
                <c:pt idx="66">
                  <c:v>0.24627858706535968</c:v>
                </c:pt>
                <c:pt idx="67">
                  <c:v>0.20816364206620491</c:v>
                </c:pt>
                <c:pt idx="68">
                  <c:v>0.16846444597119048</c:v>
                </c:pt>
                <c:pt idx="69">
                  <c:v>0.12748313365024588</c:v>
                </c:pt>
                <c:pt idx="70">
                  <c:v>8.5531597652467387E-2</c:v>
                </c:pt>
                <c:pt idx="71">
                  <c:v>4.2929114515378716E-2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70-476E-A676-F9A085400885}"/>
            </c:ext>
          </c:extLst>
        </c:ser>
        <c:ser>
          <c:idx val="8"/>
          <c:order val="4"/>
          <c:tx>
            <c:strRef>
              <c:f>Lighting!$S$221</c:f>
              <c:strCache>
                <c:ptCount val="1"/>
                <c:pt idx="0">
                  <c:v>Tail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Lighting!$S$222:$S$293</c:f>
              <c:numCache>
                <c:formatCode>0.00</c:formatCode>
                <c:ptCount val="72"/>
                <c:pt idx="0">
                  <c:v>0.22307749702277821</c:v>
                </c:pt>
                <c:pt idx="1">
                  <c:v>0.21787552104555452</c:v>
                </c:pt>
                <c:pt idx="2">
                  <c:v>0.22457487266918919</c:v>
                </c:pt>
                <c:pt idx="3">
                  <c:v>0.21747111906141572</c:v>
                </c:pt>
                <c:pt idx="4">
                  <c:v>0.20989142843791406</c:v>
                </c:pt>
                <c:pt idx="5">
                  <c:v>0.21413156893764157</c:v>
                </c:pt>
                <c:pt idx="6">
                  <c:v>0.20547443610557825</c:v>
                </c:pt>
                <c:pt idx="7">
                  <c:v>0.20847472482409365</c:v>
                </c:pt>
                <c:pt idx="8">
                  <c:v>0.19971014762648059</c:v>
                </c:pt>
                <c:pt idx="9">
                  <c:v>0.19121187970918493</c:v>
                </c:pt>
                <c:pt idx="10">
                  <c:v>0.19333300877014564</c:v>
                </c:pt>
                <c:pt idx="11">
                  <c:v>0.1857136739036335</c:v>
                </c:pt>
                <c:pt idx="12">
                  <c:v>0.17905299279708825</c:v>
                </c:pt>
                <c:pt idx="13">
                  <c:v>0.17355334666901015</c:v>
                </c:pt>
                <c:pt idx="14">
                  <c:v>0.16938183931219841</c:v>
                </c:pt>
                <c:pt idx="15">
                  <c:v>0.16697971554928118</c:v>
                </c:pt>
                <c:pt idx="16">
                  <c:v>0.16617326302131183</c:v>
                </c:pt>
                <c:pt idx="17">
                  <c:v>0.16019240699395898</c:v>
                </c:pt>
                <c:pt idx="18">
                  <c:v>0.16335715191574671</c:v>
                </c:pt>
                <c:pt idx="19">
                  <c:v>0.16140380173227914</c:v>
                </c:pt>
                <c:pt idx="20">
                  <c:v>0.16068379910130853</c:v>
                </c:pt>
                <c:pt idx="21">
                  <c:v>0.1686972035632851</c:v>
                </c:pt>
                <c:pt idx="22">
                  <c:v>0.16952190667035777</c:v>
                </c:pt>
                <c:pt idx="23">
                  <c:v>0.17873977733540672</c:v>
                </c:pt>
                <c:pt idx="24">
                  <c:v>0.17917521033020348</c:v>
                </c:pt>
                <c:pt idx="25">
                  <c:v>0.18779123537074038</c:v>
                </c:pt>
                <c:pt idx="26">
                  <c:v>0.18582471046236762</c:v>
                </c:pt>
                <c:pt idx="27">
                  <c:v>0.19256439744706397</c:v>
                </c:pt>
                <c:pt idx="28">
                  <c:v>0.19821966435377258</c:v>
                </c:pt>
                <c:pt idx="29">
                  <c:v>0.20261867893038443</c:v>
                </c:pt>
                <c:pt idx="30">
                  <c:v>0.20562777950653535</c:v>
                </c:pt>
                <c:pt idx="31">
                  <c:v>0.20747005695574502</c:v>
                </c:pt>
                <c:pt idx="32">
                  <c:v>0.22042318538497865</c:v>
                </c:pt>
                <c:pt idx="33">
                  <c:v>0.21965637810284655</c:v>
                </c:pt>
                <c:pt idx="34">
                  <c:v>0.2177036886027624</c:v>
                </c:pt>
                <c:pt idx="35">
                  <c:v>0.22747639488499605</c:v>
                </c:pt>
                <c:pt idx="36">
                  <c:v>0.22307737976817657</c:v>
                </c:pt>
                <c:pt idx="37">
                  <c:v>0.2178753972432686</c:v>
                </c:pt>
                <c:pt idx="38">
                  <c:v>0.22457477189599345</c:v>
                </c:pt>
                <c:pt idx="39">
                  <c:v>0.21747102441367755</c:v>
                </c:pt>
                <c:pt idx="40">
                  <c:v>0.20989135329607986</c:v>
                </c:pt>
                <c:pt idx="41">
                  <c:v>0.21413151708280309</c:v>
                </c:pt>
                <c:pt idx="42">
                  <c:v>0.2054743910429486</c:v>
                </c:pt>
                <c:pt idx="43">
                  <c:v>0.20847470247595443</c:v>
                </c:pt>
                <c:pt idx="44">
                  <c:v>0.19971014326961808</c:v>
                </c:pt>
                <c:pt idx="45">
                  <c:v>0.19121189252371618</c:v>
                </c:pt>
                <c:pt idx="46">
                  <c:v>0.1933330413580083</c:v>
                </c:pt>
                <c:pt idx="47">
                  <c:v>0.18571372111854462</c:v>
                </c:pt>
                <c:pt idx="48">
                  <c:v>0.17905305320128495</c:v>
                </c:pt>
                <c:pt idx="49">
                  <c:v>0.17355341863532084</c:v>
                </c:pt>
                <c:pt idx="50">
                  <c:v>0.16938192104775829</c:v>
                </c:pt>
                <c:pt idx="51">
                  <c:v>0.1669798144509356</c:v>
                </c:pt>
                <c:pt idx="52">
                  <c:v>0.16617336751477901</c:v>
                </c:pt>
                <c:pt idx="53">
                  <c:v>0.16019252014205143</c:v>
                </c:pt>
                <c:pt idx="54">
                  <c:v>0.16335726612529322</c:v>
                </c:pt>
                <c:pt idx="55">
                  <c:v>0.16140391980634511</c:v>
                </c:pt>
                <c:pt idx="56">
                  <c:v>0.16068391883578986</c:v>
                </c:pt>
                <c:pt idx="57">
                  <c:v>0.1686973177128287</c:v>
                </c:pt>
                <c:pt idx="58">
                  <c:v>0.16952201854486182</c:v>
                </c:pt>
                <c:pt idx="59">
                  <c:v>0.17873988009752956</c:v>
                </c:pt>
                <c:pt idx="60">
                  <c:v>0.17917531885287863</c:v>
                </c:pt>
                <c:pt idx="61">
                  <c:v>0.18779134604778086</c:v>
                </c:pt>
                <c:pt idx="62">
                  <c:v>0.18582482919201193</c:v>
                </c:pt>
                <c:pt idx="63">
                  <c:v>0.19256452066150903</c:v>
                </c:pt>
                <c:pt idx="64">
                  <c:v>0.19821979291299385</c:v>
                </c:pt>
                <c:pt idx="65">
                  <c:v>0.2026188135319589</c:v>
                </c:pt>
                <c:pt idx="66">
                  <c:v>0.2056279206644461</c:v>
                </c:pt>
                <c:pt idx="67">
                  <c:v>0.20747019248505844</c:v>
                </c:pt>
                <c:pt idx="68">
                  <c:v>0.22042332312037677</c:v>
                </c:pt>
                <c:pt idx="69" formatCode="General">
                  <c:v>0.21965652278879905</c:v>
                </c:pt>
                <c:pt idx="70" formatCode="General">
                  <c:v>0.21770382698839785</c:v>
                </c:pt>
                <c:pt idx="71" formatCode="General">
                  <c:v>0.22747653470596044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70-476E-A676-F9A085400885}"/>
            </c:ext>
          </c:extLst>
        </c:ser>
        <c:ser>
          <c:idx val="9"/>
          <c:order val="5"/>
          <c:tx>
            <c:strRef>
              <c:f>Lighting!$T$221</c:f>
              <c:strCache>
                <c:ptCount val="1"/>
                <c:pt idx="0">
                  <c:v>Right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Lighting!$T$222:$T$293</c:f>
              <c:numCache>
                <c:formatCode>0.00</c:formatCode>
                <c:ptCount val="72"/>
                <c:pt idx="0">
                  <c:v>1.2532463054889886E-13</c:v>
                </c:pt>
                <c:pt idx="1">
                  <c:v>4.2929199312378118E-2</c:v>
                </c:pt>
                <c:pt idx="2">
                  <c:v>8.5531681480182267E-2</c:v>
                </c:pt>
                <c:pt idx="3">
                  <c:v>0.12748321587069267</c:v>
                </c:pt>
                <c:pt idx="4">
                  <c:v>0.16846452595861439</c:v>
                </c:pt>
                <c:pt idx="5">
                  <c:v>0.20816371921183499</c:v>
                </c:pt>
                <c:pt idx="6">
                  <c:v>0.24627866078206526</c:v>
                </c:pt>
                <c:pt idx="7">
                  <c:v>0.28879747899882091</c:v>
                </c:pt>
                <c:pt idx="8">
                  <c:v>0.32364551477032399</c:v>
                </c:pt>
                <c:pt idx="9">
                  <c:v>0.35603041261650081</c:v>
                </c:pt>
                <c:pt idx="10">
                  <c:v>0.39409061050315558</c:v>
                </c:pt>
                <c:pt idx="11">
                  <c:v>0.4303779565704991</c:v>
                </c:pt>
                <c:pt idx="12">
                  <c:v>0.45500495973244393</c:v>
                </c:pt>
                <c:pt idx="13">
                  <c:v>0.48608928980892008</c:v>
                </c:pt>
                <c:pt idx="14">
                  <c:v>0.50399491668334495</c:v>
                </c:pt>
                <c:pt idx="15">
                  <c:v>0.52863758950053141</c:v>
                </c:pt>
                <c:pt idx="16">
                  <c:v>0.53897140029571544</c:v>
                </c:pt>
                <c:pt idx="17">
                  <c:v>0.54520331306930081</c:v>
                </c:pt>
                <c:pt idx="18">
                  <c:v>0.55823161718357461</c:v>
                </c:pt>
                <c:pt idx="19">
                  <c:v>0.54520330894761049</c:v>
                </c:pt>
                <c:pt idx="20">
                  <c:v>0.53897139208370526</c:v>
                </c:pt>
                <c:pt idx="21">
                  <c:v>0.5286375772606966</c:v>
                </c:pt>
                <c:pt idx="22">
                  <c:v>0.50399490083233012</c:v>
                </c:pt>
                <c:pt idx="23">
                  <c:v>0.48608927022256299</c:v>
                </c:pt>
                <c:pt idx="24">
                  <c:v>0.4550049370327216</c:v>
                </c:pt>
                <c:pt idx="25">
                  <c:v>0.43037793053044698</c:v>
                </c:pt>
                <c:pt idx="26">
                  <c:v>0.39409058192891905</c:v>
                </c:pt>
                <c:pt idx="27">
                  <c:v>0.35603038185183933</c:v>
                </c:pt>
                <c:pt idx="28">
                  <c:v>0.32364548144141525</c:v>
                </c:pt>
                <c:pt idx="29">
                  <c:v>0.28879744335931817</c:v>
                </c:pt>
                <c:pt idx="30">
                  <c:v>0.24627862392231026</c:v>
                </c:pt>
                <c:pt idx="31">
                  <c:v>0.2081636806375835</c:v>
                </c:pt>
                <c:pt idx="32">
                  <c:v>0.16846448596343508</c:v>
                </c:pt>
                <c:pt idx="33">
                  <c:v>0.12748317475897797</c:v>
                </c:pt>
                <c:pt idx="34">
                  <c:v>8.5531639564817477E-2</c:v>
                </c:pt>
                <c:pt idx="35">
                  <c:v>4.2929156912359212E-2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70-476E-A676-F9A085400885}"/>
            </c:ext>
          </c:extLst>
        </c:ser>
        <c:ser>
          <c:idx val="10"/>
          <c:order val="6"/>
          <c:tx>
            <c:strRef>
              <c:f>Lighting!$U$221</c:f>
              <c:strCache>
                <c:ptCount val="1"/>
              </c:strCache>
            </c:strRef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dash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Lighting!$U$222:$U$293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A70-476E-A676-F9A085400885}"/>
            </c:ext>
          </c:extLst>
        </c:ser>
        <c:ser>
          <c:idx val="11"/>
          <c:order val="7"/>
          <c:tx>
            <c:strRef>
              <c:f>Lighting!$V$221</c:f>
              <c:strCache>
                <c:ptCount val="1"/>
              </c:strCache>
            </c:strRef>
          </c:tx>
          <c:spPr>
            <a:ln w="19050">
              <a:solidFill>
                <a:srgbClr val="FF00FF"/>
              </a:solidFill>
            </a:ln>
          </c:spPr>
          <c:marker>
            <c:symbol val="plus"/>
            <c:size val="5"/>
            <c:spPr>
              <a:ln>
                <a:solidFill>
                  <a:srgbClr val="FF00FF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Lighting!$V$222:$V$293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A70-476E-A676-F9A085400885}"/>
            </c:ext>
          </c:extLst>
        </c:ser>
        <c:ser>
          <c:idx val="12"/>
          <c:order val="8"/>
          <c:tx>
            <c:strRef>
              <c:f>Lighting!$W$221</c:f>
              <c:strCache>
                <c:ptCount val="1"/>
              </c:strCache>
            </c:strRef>
          </c:tx>
          <c:spPr>
            <a:ln w="19050">
              <a:solidFill>
                <a:srgbClr val="CC6600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Lighting!$W$222:$W$293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A70-476E-A676-F9A085400885}"/>
            </c:ext>
          </c:extLst>
        </c:ser>
        <c:ser>
          <c:idx val="0"/>
          <c:order val="9"/>
          <c:tx>
            <c:strRef>
              <c:f>Lighting!$X$221</c:f>
              <c:strCache>
                <c:ptCount val="1"/>
              </c:strCache>
            </c:strRef>
          </c:tx>
          <c:spPr>
            <a:ln w="19050"/>
          </c:spP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Lighting!$X$222:$X$293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A70-476E-A676-F9A085400885}"/>
            </c:ext>
          </c:extLst>
        </c:ser>
        <c:ser>
          <c:idx val="1"/>
          <c:order val="10"/>
          <c:tx>
            <c:strRef>
              <c:f>Lighting!$Y$221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Lighting!$Y$222:$Y$293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A70-476E-A676-F9A085400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25536"/>
        <c:axId val="32236288"/>
      </c:scatterChart>
      <c:valAx>
        <c:axId val="32225536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Right</a:t>
                </a:r>
                <a:r>
                  <a:rPr lang="en-US" baseline="0"/>
                  <a:t> Ascension of Ascending Node (Degrees)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236288"/>
        <c:crosses val="autoZero"/>
        <c:crossBetween val="midCat"/>
      </c:valAx>
      <c:valAx>
        <c:axId val="32236288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/>
                  <a:t>Orbit Average Direction</a:t>
                </a:r>
                <a:r>
                  <a:rPr lang="en-US" baseline="0"/>
                  <a:t> Cosine</a:t>
                </a:r>
                <a:endParaRPr lang="en-US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2225536"/>
        <c:crosses val="autoZero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r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Orbit Average</a:t>
            </a:r>
            <a:r>
              <a:rPr lang="en-US" baseline="0"/>
              <a:t> Power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strRef>
              <c:f>Lighting!$I$221</c:f>
              <c:strCache>
                <c:ptCount val="1"/>
                <c:pt idx="0">
                  <c:v>User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square"/>
            <c:size val="5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Lighting!$H$222:$H$293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Lighting!$I$222:$I$293</c:f>
              <c:numCache>
                <c:formatCode>0.00</c:formatCode>
                <c:ptCount val="72"/>
                <c:pt idx="0">
                  <c:v>3.3261428448924448</c:v>
                </c:pt>
                <c:pt idx="1">
                  <c:v>3.5025390382161414</c:v>
                </c:pt>
                <c:pt idx="2">
                  <c:v>3.6576533789778742</c:v>
                </c:pt>
                <c:pt idx="3">
                  <c:v>3.7940746926104354</c:v>
                </c:pt>
                <c:pt idx="4">
                  <c:v>3.9171922884246753</c:v>
                </c:pt>
                <c:pt idx="5">
                  <c:v>4.0178090923095064</c:v>
                </c:pt>
                <c:pt idx="6">
                  <c:v>4.0978247932853442</c:v>
                </c:pt>
                <c:pt idx="7">
                  <c:v>4.261136479502742</c:v>
                </c:pt>
                <c:pt idx="8">
                  <c:v>4.3096411309355069</c:v>
                </c:pt>
                <c:pt idx="9">
                  <c:v>4.3404704429590115</c:v>
                </c:pt>
                <c:pt idx="10">
                  <c:v>4.4547434580818202</c:v>
                </c:pt>
                <c:pt idx="11">
                  <c:v>4.5560442762011348</c:v>
                </c:pt>
                <c:pt idx="12">
                  <c:v>4.5468226017277065</c:v>
                </c:pt>
                <c:pt idx="13">
                  <c:v>4.6284015875685807</c:v>
                </c:pt>
                <c:pt idx="14">
                  <c:v>4.6037690167874921</c:v>
                </c:pt>
                <c:pt idx="15">
                  <c:v>4.6817390823626504</c:v>
                </c:pt>
                <c:pt idx="16">
                  <c:v>4.6603287631373469</c:v>
                </c:pt>
                <c:pt idx="17">
                  <c:v>4.6478432013989508</c:v>
                </c:pt>
                <c:pt idx="18">
                  <c:v>4.7385347302898371</c:v>
                </c:pt>
                <c:pt idx="19">
                  <c:v>4.6478433014256169</c:v>
                </c:pt>
                <c:pt idx="20">
                  <c:v>4.6603286699477371</c:v>
                </c:pt>
                <c:pt idx="21">
                  <c:v>4.6817391901758523</c:v>
                </c:pt>
                <c:pt idx="22">
                  <c:v>4.6037688352441091</c:v>
                </c:pt>
                <c:pt idx="23">
                  <c:v>4.6284015231970903</c:v>
                </c:pt>
                <c:pt idx="24">
                  <c:v>4.5468226610679583</c:v>
                </c:pt>
                <c:pt idx="25">
                  <c:v>4.5560443716645782</c:v>
                </c:pt>
                <c:pt idx="26">
                  <c:v>4.4547435858080728</c:v>
                </c:pt>
                <c:pt idx="27">
                  <c:v>4.340470487240621</c:v>
                </c:pt>
                <c:pt idx="28">
                  <c:v>4.3096410598316055</c:v>
                </c:pt>
                <c:pt idx="29">
                  <c:v>4.261136248116224</c:v>
                </c:pt>
                <c:pt idx="30">
                  <c:v>4.0978243415227578</c:v>
                </c:pt>
                <c:pt idx="31">
                  <c:v>4.0178090736864576</c:v>
                </c:pt>
                <c:pt idx="32">
                  <c:v>3.9171919173751624</c:v>
                </c:pt>
                <c:pt idx="33">
                  <c:v>3.7940740454322071</c:v>
                </c:pt>
                <c:pt idx="34">
                  <c:v>3.6576531406262518</c:v>
                </c:pt>
                <c:pt idx="35">
                  <c:v>3.5025383931964647</c:v>
                </c:pt>
                <c:pt idx="36">
                  <c:v>3.3261427514127191</c:v>
                </c:pt>
                <c:pt idx="37">
                  <c:v>3.5025388335760361</c:v>
                </c:pt>
                <c:pt idx="38">
                  <c:v>3.6576532692024837</c:v>
                </c:pt>
                <c:pt idx="39">
                  <c:v>3.7940745472381612</c:v>
                </c:pt>
                <c:pt idx="40">
                  <c:v>3.9171922245199817</c:v>
                </c:pt>
                <c:pt idx="41">
                  <c:v>4.0178091040002357</c:v>
                </c:pt>
                <c:pt idx="42">
                  <c:v>4.097824751086562</c:v>
                </c:pt>
                <c:pt idx="43">
                  <c:v>4.2611364711226889</c:v>
                </c:pt>
                <c:pt idx="44">
                  <c:v>4.3096411652518896</c:v>
                </c:pt>
                <c:pt idx="45">
                  <c:v>4.340470507196752</c:v>
                </c:pt>
                <c:pt idx="46">
                  <c:v>4.4547435213293847</c:v>
                </c:pt>
                <c:pt idx="47">
                  <c:v>4.5560443215044666</c:v>
                </c:pt>
                <c:pt idx="48">
                  <c:v>4.5468226310701105</c:v>
                </c:pt>
                <c:pt idx="49">
                  <c:v>4.6284015690041977</c:v>
                </c:pt>
                <c:pt idx="50">
                  <c:v>4.6037689452045241</c:v>
                </c:pt>
                <c:pt idx="51">
                  <c:v>4.681739072686657</c:v>
                </c:pt>
                <c:pt idx="52">
                  <c:v>4.6603287049276165</c:v>
                </c:pt>
                <c:pt idx="53">
                  <c:v>4.647843201093921</c:v>
                </c:pt>
                <c:pt idx="54">
                  <c:v>4.7385346924885061</c:v>
                </c:pt>
                <c:pt idx="55">
                  <c:v>4.6478433017267413</c:v>
                </c:pt>
                <c:pt idx="56">
                  <c:v>4.6603287281540444</c:v>
                </c:pt>
                <c:pt idx="57">
                  <c:v>4.681739199849237</c:v>
                </c:pt>
                <c:pt idx="58">
                  <c:v>4.6037689068252066</c:v>
                </c:pt>
                <c:pt idx="59">
                  <c:v>4.6284015571118404</c:v>
                </c:pt>
                <c:pt idx="60">
                  <c:v>4.546822636402525</c:v>
                </c:pt>
                <c:pt idx="61">
                  <c:v>4.5560443203298773</c:v>
                </c:pt>
                <c:pt idx="62">
                  <c:v>4.4547435058665146</c:v>
                </c:pt>
                <c:pt idx="63">
                  <c:v>4.3404703957737478</c:v>
                </c:pt>
                <c:pt idx="64">
                  <c:v>4.3096409879584971</c:v>
                </c:pt>
                <c:pt idx="65">
                  <c:v>4.2611362088978932</c:v>
                </c:pt>
                <c:pt idx="66">
                  <c:v>4.0978243264439458</c:v>
                </c:pt>
                <c:pt idx="67">
                  <c:v>4.0178089954749385</c:v>
                </c:pt>
                <c:pt idx="68">
                  <c:v>3.9171919060224263</c:v>
                </c:pt>
                <c:pt idx="69">
                  <c:v>3.7940741073830675</c:v>
                </c:pt>
                <c:pt idx="70">
                  <c:v>3.6576531594512027</c:v>
                </c:pt>
                <c:pt idx="71">
                  <c:v>3.502538500049591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1F-4A56-AA68-BD4C66D48FCE}"/>
            </c:ext>
          </c:extLst>
        </c:ser>
        <c:ser>
          <c:idx val="5"/>
          <c:order val="1"/>
          <c:tx>
            <c:strRef>
              <c:f>Lighting!$J$221</c:f>
              <c:strCache>
                <c:ptCount val="1"/>
                <c:pt idx="0">
                  <c:v>Equinox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Lighting!$H$222:$H$293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Lighting!$J$222:$J$293</c:f>
              <c:numCache>
                <c:formatCode>0.00</c:formatCode>
                <c:ptCount val="72"/>
                <c:pt idx="0">
                  <c:v>3.3261428448924448</c:v>
                </c:pt>
                <c:pt idx="1">
                  <c:v>3.5025390382161414</c:v>
                </c:pt>
                <c:pt idx="2">
                  <c:v>3.6576533789778742</c:v>
                </c:pt>
                <c:pt idx="3">
                  <c:v>3.7940746926104354</c:v>
                </c:pt>
                <c:pt idx="4">
                  <c:v>3.9171922884246753</c:v>
                </c:pt>
                <c:pt idx="5">
                  <c:v>4.0178090923095064</c:v>
                </c:pt>
                <c:pt idx="6">
                  <c:v>4.0978247932853442</c:v>
                </c:pt>
                <c:pt idx="7">
                  <c:v>4.261136479502742</c:v>
                </c:pt>
                <c:pt idx="8">
                  <c:v>4.3096411309355069</c:v>
                </c:pt>
                <c:pt idx="9">
                  <c:v>4.3404704429590115</c:v>
                </c:pt>
                <c:pt idx="10">
                  <c:v>4.4547434580818202</c:v>
                </c:pt>
                <c:pt idx="11">
                  <c:v>4.5560442762011348</c:v>
                </c:pt>
                <c:pt idx="12">
                  <c:v>4.5468226017277065</c:v>
                </c:pt>
                <c:pt idx="13">
                  <c:v>4.6284015875685807</c:v>
                </c:pt>
                <c:pt idx="14">
                  <c:v>4.6037690167874921</c:v>
                </c:pt>
                <c:pt idx="15">
                  <c:v>4.6817390823626504</c:v>
                </c:pt>
                <c:pt idx="16">
                  <c:v>4.6603287631373469</c:v>
                </c:pt>
                <c:pt idx="17">
                  <c:v>4.6478432013989508</c:v>
                </c:pt>
                <c:pt idx="18">
                  <c:v>4.7385347302898371</c:v>
                </c:pt>
                <c:pt idx="19">
                  <c:v>4.6478433014256169</c:v>
                </c:pt>
                <c:pt idx="20">
                  <c:v>4.6603286699477371</c:v>
                </c:pt>
                <c:pt idx="21">
                  <c:v>4.6817391901758523</c:v>
                </c:pt>
                <c:pt idx="22">
                  <c:v>4.6037688352441091</c:v>
                </c:pt>
                <c:pt idx="23">
                  <c:v>4.6284015231970903</c:v>
                </c:pt>
                <c:pt idx="24">
                  <c:v>4.5468226610679583</c:v>
                </c:pt>
                <c:pt idx="25">
                  <c:v>4.5560443716645782</c:v>
                </c:pt>
                <c:pt idx="26">
                  <c:v>4.4547435858080728</c:v>
                </c:pt>
                <c:pt idx="27">
                  <c:v>4.340470487240621</c:v>
                </c:pt>
                <c:pt idx="28">
                  <c:v>4.3096410598316055</c:v>
                </c:pt>
                <c:pt idx="29">
                  <c:v>4.261136248116224</c:v>
                </c:pt>
                <c:pt idx="30">
                  <c:v>4.0978243415227578</c:v>
                </c:pt>
                <c:pt idx="31">
                  <c:v>4.0178090736864576</c:v>
                </c:pt>
                <c:pt idx="32">
                  <c:v>3.9171919173751624</c:v>
                </c:pt>
                <c:pt idx="33">
                  <c:v>3.7940740454322071</c:v>
                </c:pt>
                <c:pt idx="34">
                  <c:v>3.6576531406262518</c:v>
                </c:pt>
                <c:pt idx="35">
                  <c:v>3.5025383931964647</c:v>
                </c:pt>
                <c:pt idx="36">
                  <c:v>3.3261427514127191</c:v>
                </c:pt>
                <c:pt idx="37">
                  <c:v>3.5025388335760361</c:v>
                </c:pt>
                <c:pt idx="38">
                  <c:v>3.6576532692024837</c:v>
                </c:pt>
                <c:pt idx="39">
                  <c:v>3.7940745472381612</c:v>
                </c:pt>
                <c:pt idx="40">
                  <c:v>3.9171922245199817</c:v>
                </c:pt>
                <c:pt idx="41">
                  <c:v>4.0178091040002357</c:v>
                </c:pt>
                <c:pt idx="42">
                  <c:v>4.097824751086562</c:v>
                </c:pt>
                <c:pt idx="43">
                  <c:v>4.2611364711226889</c:v>
                </c:pt>
                <c:pt idx="44">
                  <c:v>4.3096411652518896</c:v>
                </c:pt>
                <c:pt idx="45">
                  <c:v>4.340470507196752</c:v>
                </c:pt>
                <c:pt idx="46">
                  <c:v>4.4547435213293847</c:v>
                </c:pt>
                <c:pt idx="47">
                  <c:v>4.5560443215044666</c:v>
                </c:pt>
                <c:pt idx="48">
                  <c:v>4.5468226310701105</c:v>
                </c:pt>
                <c:pt idx="49">
                  <c:v>4.6284015690041977</c:v>
                </c:pt>
                <c:pt idx="50">
                  <c:v>4.6037689452045241</c:v>
                </c:pt>
                <c:pt idx="51">
                  <c:v>4.681739072686657</c:v>
                </c:pt>
                <c:pt idx="52">
                  <c:v>4.6603287049276165</c:v>
                </c:pt>
                <c:pt idx="53">
                  <c:v>4.647843201093921</c:v>
                </c:pt>
                <c:pt idx="54">
                  <c:v>4.7385346924885061</c:v>
                </c:pt>
                <c:pt idx="55">
                  <c:v>4.6478433017267413</c:v>
                </c:pt>
                <c:pt idx="56">
                  <c:v>4.6603287281540444</c:v>
                </c:pt>
                <c:pt idx="57">
                  <c:v>4.681739199849237</c:v>
                </c:pt>
                <c:pt idx="58">
                  <c:v>4.6037689068252066</c:v>
                </c:pt>
                <c:pt idx="59">
                  <c:v>4.6284015571118404</c:v>
                </c:pt>
                <c:pt idx="60">
                  <c:v>4.546822636402525</c:v>
                </c:pt>
                <c:pt idx="61">
                  <c:v>4.5560443203298773</c:v>
                </c:pt>
                <c:pt idx="62">
                  <c:v>4.4547435058665146</c:v>
                </c:pt>
                <c:pt idx="63">
                  <c:v>4.3404703957737478</c:v>
                </c:pt>
                <c:pt idx="64">
                  <c:v>4.3096409879584971</c:v>
                </c:pt>
                <c:pt idx="65">
                  <c:v>4.2611362088978932</c:v>
                </c:pt>
                <c:pt idx="66">
                  <c:v>4.0978243264439458</c:v>
                </c:pt>
                <c:pt idx="67">
                  <c:v>4.0178089954749385</c:v>
                </c:pt>
                <c:pt idx="68">
                  <c:v>3.9171919060224263</c:v>
                </c:pt>
                <c:pt idx="69">
                  <c:v>3.7940741073830675</c:v>
                </c:pt>
                <c:pt idx="70">
                  <c:v>3.6576531594512027</c:v>
                </c:pt>
                <c:pt idx="71">
                  <c:v>3.502538500049591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1F-4A56-AA68-BD4C66D48FCE}"/>
            </c:ext>
          </c:extLst>
        </c:ser>
        <c:ser>
          <c:idx val="6"/>
          <c:order val="2"/>
          <c:tx>
            <c:strRef>
              <c:f>Lighting!$K$221</c:f>
              <c:strCache>
                <c:ptCount val="1"/>
                <c:pt idx="0">
                  <c:v>S Solstice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7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Lighting!$H$222:$H$293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Lighting!$K$222:$K$293</c:f>
              <c:numCache>
                <c:formatCode>0.00</c:formatCode>
                <c:ptCount val="72"/>
                <c:pt idx="0">
                  <c:v>4.1786770413331329</c:v>
                </c:pt>
                <c:pt idx="1">
                  <c:v>4.2734084019477594</c:v>
                </c:pt>
                <c:pt idx="2">
                  <c:v>4.2657608998651364</c:v>
                </c:pt>
                <c:pt idx="3">
                  <c:v>4.155717726899125</c:v>
                </c:pt>
                <c:pt idx="4">
                  <c:v>4.1353132733238809</c:v>
                </c:pt>
                <c:pt idx="5">
                  <c:v>4.1068555303150278</c:v>
                </c:pt>
                <c:pt idx="6">
                  <c:v>4.0710685919512519</c:v>
                </c:pt>
                <c:pt idx="7">
                  <c:v>4.0251888443403638</c:v>
                </c:pt>
                <c:pt idx="8">
                  <c:v>3.9675811147188091</c:v>
                </c:pt>
                <c:pt idx="9">
                  <c:v>3.8961389079727384</c:v>
                </c:pt>
                <c:pt idx="10">
                  <c:v>3.8086887591671124</c:v>
                </c:pt>
                <c:pt idx="11">
                  <c:v>3.7069480263759504</c:v>
                </c:pt>
                <c:pt idx="12">
                  <c:v>3.5936719919461737</c:v>
                </c:pt>
                <c:pt idx="13">
                  <c:v>3.4606571351095523</c:v>
                </c:pt>
                <c:pt idx="14">
                  <c:v>3.3445376715498942</c:v>
                </c:pt>
                <c:pt idx="15">
                  <c:v>3.4174824026299397</c:v>
                </c:pt>
                <c:pt idx="16">
                  <c:v>3.6374752693041095</c:v>
                </c:pt>
                <c:pt idx="17">
                  <c:v>3.7703851242791404</c:v>
                </c:pt>
                <c:pt idx="18">
                  <c:v>3.88891510168042</c:v>
                </c:pt>
                <c:pt idx="19">
                  <c:v>3.9923331432617584</c:v>
                </c:pt>
                <c:pt idx="20">
                  <c:v>4.1769698395155475</c:v>
                </c:pt>
                <c:pt idx="21">
                  <c:v>4.1517967929257269</c:v>
                </c:pt>
                <c:pt idx="22">
                  <c:v>4.3055953299907559</c:v>
                </c:pt>
                <c:pt idx="23">
                  <c:v>4.4381096293821072</c:v>
                </c:pt>
                <c:pt idx="24">
                  <c:v>4.4560989846630816</c:v>
                </c:pt>
                <c:pt idx="25">
                  <c:v>4.5513653671561052</c:v>
                </c:pt>
                <c:pt idx="26">
                  <c:v>4.6228349019831239</c:v>
                </c:pt>
                <c:pt idx="27">
                  <c:v>4.676292322640621</c:v>
                </c:pt>
                <c:pt idx="28">
                  <c:v>4.8023523339563026</c:v>
                </c:pt>
                <c:pt idx="29">
                  <c:v>4.9010780705232095</c:v>
                </c:pt>
                <c:pt idx="30">
                  <c:v>4.9726275862960945</c:v>
                </c:pt>
                <c:pt idx="31">
                  <c:v>5.1075597661343908</c:v>
                </c:pt>
                <c:pt idx="32">
                  <c:v>5.4685746725970379</c:v>
                </c:pt>
                <c:pt idx="33">
                  <c:v>5.8560365170747231</c:v>
                </c:pt>
                <c:pt idx="34">
                  <c:v>5.7006583786345697</c:v>
                </c:pt>
                <c:pt idx="35">
                  <c:v>5.5907723378627754</c:v>
                </c:pt>
                <c:pt idx="36">
                  <c:v>5.5492775612596468</c:v>
                </c:pt>
                <c:pt idx="37">
                  <c:v>5.5907724882468699</c:v>
                </c:pt>
                <c:pt idx="38">
                  <c:v>5.700658625248006</c:v>
                </c:pt>
                <c:pt idx="39">
                  <c:v>5.8560369079750076</c:v>
                </c:pt>
                <c:pt idx="40">
                  <c:v>5.4685750288145458</c:v>
                </c:pt>
                <c:pt idx="41">
                  <c:v>5.1075599602663386</c:v>
                </c:pt>
                <c:pt idx="42">
                  <c:v>4.9726277566747132</c:v>
                </c:pt>
                <c:pt idx="43">
                  <c:v>4.9010781690131688</c:v>
                </c:pt>
                <c:pt idx="44">
                  <c:v>4.802352301528396</c:v>
                </c:pt>
                <c:pt idx="45">
                  <c:v>4.6762921130460668</c:v>
                </c:pt>
                <c:pt idx="46">
                  <c:v>4.6228349286863786</c:v>
                </c:pt>
                <c:pt idx="47">
                  <c:v>4.551365132142247</c:v>
                </c:pt>
                <c:pt idx="48">
                  <c:v>4.4560986079603486</c:v>
                </c:pt>
                <c:pt idx="49">
                  <c:v>4.4381095104420245</c:v>
                </c:pt>
                <c:pt idx="50">
                  <c:v>4.305595053233481</c:v>
                </c:pt>
                <c:pt idx="51">
                  <c:v>4.1517963450245743</c:v>
                </c:pt>
                <c:pt idx="52">
                  <c:v>4.1769696060058221</c:v>
                </c:pt>
                <c:pt idx="53">
                  <c:v>3.9923327306850322</c:v>
                </c:pt>
                <c:pt idx="54">
                  <c:v>3.8889149988376919</c:v>
                </c:pt>
                <c:pt idx="55">
                  <c:v>3.7703847638081252</c:v>
                </c:pt>
                <c:pt idx="56">
                  <c:v>3.6374752356838971</c:v>
                </c:pt>
                <c:pt idx="57">
                  <c:v>3.4174822076968954</c:v>
                </c:pt>
                <c:pt idx="58">
                  <c:v>3.344537249759636</c:v>
                </c:pt>
                <c:pt idx="59">
                  <c:v>3.4606576587131914</c:v>
                </c:pt>
                <c:pt idx="60">
                  <c:v>3.5936722658438716</c:v>
                </c:pt>
                <c:pt idx="61">
                  <c:v>3.7069481628516687</c:v>
                </c:pt>
                <c:pt idx="62">
                  <c:v>3.8086892325442854</c:v>
                </c:pt>
                <c:pt idx="63">
                  <c:v>3.89613925838708</c:v>
                </c:pt>
                <c:pt idx="64">
                  <c:v>3.9675812522223168</c:v>
                </c:pt>
                <c:pt idx="65">
                  <c:v>4.025188878714645</c:v>
                </c:pt>
                <c:pt idx="66">
                  <c:v>4.0710685320614584</c:v>
                </c:pt>
                <c:pt idx="67">
                  <c:v>4.1068553831205286</c:v>
                </c:pt>
                <c:pt idx="68">
                  <c:v>4.1353134611920268</c:v>
                </c:pt>
                <c:pt idx="69">
                  <c:v>4.1557178833504125</c:v>
                </c:pt>
                <c:pt idx="70">
                  <c:v>4.2657609714062712</c:v>
                </c:pt>
                <c:pt idx="71">
                  <c:v>4.2734084594747008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1F-4A56-AA68-BD4C66D48FCE}"/>
            </c:ext>
          </c:extLst>
        </c:ser>
        <c:ser>
          <c:idx val="0"/>
          <c:order val="3"/>
          <c:tx>
            <c:strRef>
              <c:f>Lighting!$L$221</c:f>
              <c:strCache>
                <c:ptCount val="1"/>
                <c:pt idx="0">
                  <c:v>W Solstice</c:v>
                </c:pt>
              </c:strCache>
            </c:strRef>
          </c:tx>
          <c:marker>
            <c:symbol val="x"/>
            <c:size val="5"/>
          </c:marker>
          <c:xVal>
            <c:numRef>
              <c:f>Lighting!$H$222:$H$293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Lighting!$L$222:$L$293</c:f>
              <c:numCache>
                <c:formatCode>0.00</c:formatCode>
                <c:ptCount val="72"/>
                <c:pt idx="0">
                  <c:v>4.1786770873851857</c:v>
                </c:pt>
                <c:pt idx="1">
                  <c:v>4.2734083380622589</c:v>
                </c:pt>
                <c:pt idx="2">
                  <c:v>4.2657608390007606</c:v>
                </c:pt>
                <c:pt idx="3">
                  <c:v>4.1557176893927901</c:v>
                </c:pt>
                <c:pt idx="4">
                  <c:v>4.1353132327127584</c:v>
                </c:pt>
                <c:pt idx="5">
                  <c:v>4.1068555773086288</c:v>
                </c:pt>
                <c:pt idx="6">
                  <c:v>4.0710686746185862</c:v>
                </c:pt>
                <c:pt idx="7">
                  <c:v>4.0251889492695563</c:v>
                </c:pt>
                <c:pt idx="8">
                  <c:v>3.967581228909375</c:v>
                </c:pt>
                <c:pt idx="9">
                  <c:v>3.8961390182622151</c:v>
                </c:pt>
                <c:pt idx="10">
                  <c:v>3.808688852322069</c:v>
                </c:pt>
                <c:pt idx="11">
                  <c:v>3.7069481943806961</c:v>
                </c:pt>
                <c:pt idx="12">
                  <c:v>3.5936721237021523</c:v>
                </c:pt>
                <c:pt idx="13">
                  <c:v>3.4606572199610195</c:v>
                </c:pt>
                <c:pt idx="14">
                  <c:v>3.3445378054664228</c:v>
                </c:pt>
                <c:pt idx="15">
                  <c:v>3.4174825046891533</c:v>
                </c:pt>
                <c:pt idx="16">
                  <c:v>3.6374752750192871</c:v>
                </c:pt>
                <c:pt idx="17">
                  <c:v>3.7703851615633219</c:v>
                </c:pt>
                <c:pt idx="18">
                  <c:v>3.8889150641103112</c:v>
                </c:pt>
                <c:pt idx="19">
                  <c:v>3.9923331280895367</c:v>
                </c:pt>
                <c:pt idx="20">
                  <c:v>4.1769697215361141</c:v>
                </c:pt>
                <c:pt idx="21">
                  <c:v>4.151796716666885</c:v>
                </c:pt>
                <c:pt idx="22">
                  <c:v>4.3055951538952826</c:v>
                </c:pt>
                <c:pt idx="23">
                  <c:v>4.4381093620201657</c:v>
                </c:pt>
                <c:pt idx="24">
                  <c:v>4.4560987352100714</c:v>
                </c:pt>
                <c:pt idx="25">
                  <c:v>4.5513650394075329</c:v>
                </c:pt>
                <c:pt idx="26">
                  <c:v>4.6228346545535057</c:v>
                </c:pt>
                <c:pt idx="27">
                  <c:v>4.6762920793868563</c:v>
                </c:pt>
                <c:pt idx="28">
                  <c:v>4.8023521531292479</c:v>
                </c:pt>
                <c:pt idx="29">
                  <c:v>4.90107794684182</c:v>
                </c:pt>
                <c:pt idx="30">
                  <c:v>4.9726275106765074</c:v>
                </c:pt>
                <c:pt idx="31">
                  <c:v>5.1075597320284283</c:v>
                </c:pt>
                <c:pt idx="32">
                  <c:v>5.4685746882787347</c:v>
                </c:pt>
                <c:pt idx="33">
                  <c:v>5.8560365170751432</c:v>
                </c:pt>
                <c:pt idx="34">
                  <c:v>5.7006583786349401</c:v>
                </c:pt>
                <c:pt idx="35">
                  <c:v>5.590772337862993</c:v>
                </c:pt>
                <c:pt idx="36">
                  <c:v>5.5492775612596681</c:v>
                </c:pt>
                <c:pt idx="37">
                  <c:v>5.5907724882466541</c:v>
                </c:pt>
                <c:pt idx="38">
                  <c:v>5.7006586252476357</c:v>
                </c:pt>
                <c:pt idx="39">
                  <c:v>5.8560369079745866</c:v>
                </c:pt>
                <c:pt idx="40">
                  <c:v>5.4685750131287181</c:v>
                </c:pt>
                <c:pt idx="41">
                  <c:v>5.1075599763285124</c:v>
                </c:pt>
                <c:pt idx="42">
                  <c:v>4.9726278044565166</c:v>
                </c:pt>
                <c:pt idx="43">
                  <c:v>4.9010782550311349</c:v>
                </c:pt>
                <c:pt idx="44">
                  <c:v>4.802352434908844</c:v>
                </c:pt>
                <c:pt idx="45">
                  <c:v>4.6762922991869189</c:v>
                </c:pt>
                <c:pt idx="46">
                  <c:v>4.6228351095276787</c:v>
                </c:pt>
                <c:pt idx="47">
                  <c:v>4.5513653840895607</c:v>
                </c:pt>
                <c:pt idx="48">
                  <c:v>4.4560989378492692</c:v>
                </c:pt>
                <c:pt idx="49">
                  <c:v>4.4381098574400504</c:v>
                </c:pt>
                <c:pt idx="50">
                  <c:v>4.305595307314614</c:v>
                </c:pt>
                <c:pt idx="51">
                  <c:v>4.1517964967807997</c:v>
                </c:pt>
                <c:pt idx="52">
                  <c:v>4.1769697961754764</c:v>
                </c:pt>
                <c:pt idx="53">
                  <c:v>3.9923328139464491</c:v>
                </c:pt>
                <c:pt idx="54">
                  <c:v>3.8889150996331954</c:v>
                </c:pt>
                <c:pt idx="55">
                  <c:v>3.7703847841601221</c:v>
                </c:pt>
                <c:pt idx="56">
                  <c:v>3.6374752813323834</c:v>
                </c:pt>
                <c:pt idx="57">
                  <c:v>3.4174821500939445</c:v>
                </c:pt>
                <c:pt idx="58">
                  <c:v>3.3445371528084831</c:v>
                </c:pt>
                <c:pt idx="59">
                  <c:v>3.4606576027596998</c:v>
                </c:pt>
                <c:pt idx="60">
                  <c:v>3.5936721545051999</c:v>
                </c:pt>
                <c:pt idx="61">
                  <c:v>3.7069480063832754</c:v>
                </c:pt>
                <c:pt idx="62">
                  <c:v>3.8086891417122781</c:v>
                </c:pt>
                <c:pt idx="63">
                  <c:v>3.8961391409448076</c:v>
                </c:pt>
                <c:pt idx="64">
                  <c:v>3.9675811212131533</c:v>
                </c:pt>
                <c:pt idx="65">
                  <c:v>4.0251887471841323</c:v>
                </c:pt>
                <c:pt idx="66">
                  <c:v>4.0710684129678256</c:v>
                </c:pt>
                <c:pt idx="67">
                  <c:v>4.1068552899081476</c:v>
                </c:pt>
                <c:pt idx="68">
                  <c:v>4.1353135017907023</c:v>
                </c:pt>
                <c:pt idx="69">
                  <c:v>4.1557179208451567</c:v>
                </c:pt>
                <c:pt idx="70">
                  <c:v>4.2657610322596975</c:v>
                </c:pt>
                <c:pt idx="71">
                  <c:v>4.2734085233496222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1F-4A56-AA68-BD4C66D4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39968"/>
        <c:axId val="31958528"/>
      </c:scatterChart>
      <c:valAx>
        <c:axId val="31939968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Right</a:t>
                </a:r>
                <a:r>
                  <a:rPr lang="en-US" sz="1200" baseline="0"/>
                  <a:t> Assension of Ascending Node</a:t>
                </a:r>
                <a:endParaRPr lang="en-US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1958528"/>
        <c:crosses val="autoZero"/>
        <c:crossBetween val="midCat"/>
      </c:valAx>
      <c:valAx>
        <c:axId val="3195852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Power Watts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1939968"/>
        <c:crosses val="autoZero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r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Orbit</a:t>
            </a:r>
            <a:r>
              <a:rPr lang="en-US" baseline="0"/>
              <a:t> Average Power 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5"/>
          <c:order val="0"/>
          <c:tx>
            <c:strRef>
              <c:f>Lighting!$J$221</c:f>
              <c:strCache>
                <c:ptCount val="1"/>
                <c:pt idx="0">
                  <c:v>Equinox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Lighting!$H$222:$H$293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Lighting!$J$222:$J$293</c:f>
              <c:numCache>
                <c:formatCode>0.00</c:formatCode>
                <c:ptCount val="72"/>
                <c:pt idx="0">
                  <c:v>3.3261428448924448</c:v>
                </c:pt>
                <c:pt idx="1">
                  <c:v>3.5025390382161414</c:v>
                </c:pt>
                <c:pt idx="2">
                  <c:v>3.6576533789778742</c:v>
                </c:pt>
                <c:pt idx="3">
                  <c:v>3.7940746926104354</c:v>
                </c:pt>
                <c:pt idx="4">
                  <c:v>3.9171922884246753</c:v>
                </c:pt>
                <c:pt idx="5">
                  <c:v>4.0178090923095064</c:v>
                </c:pt>
                <c:pt idx="6">
                  <c:v>4.0978247932853442</c:v>
                </c:pt>
                <c:pt idx="7">
                  <c:v>4.261136479502742</c:v>
                </c:pt>
                <c:pt idx="8">
                  <c:v>4.3096411309355069</c:v>
                </c:pt>
                <c:pt idx="9">
                  <c:v>4.3404704429590115</c:v>
                </c:pt>
                <c:pt idx="10">
                  <c:v>4.4547434580818202</c:v>
                </c:pt>
                <c:pt idx="11">
                  <c:v>4.5560442762011348</c:v>
                </c:pt>
                <c:pt idx="12">
                  <c:v>4.5468226017277065</c:v>
                </c:pt>
                <c:pt idx="13">
                  <c:v>4.6284015875685807</c:v>
                </c:pt>
                <c:pt idx="14">
                  <c:v>4.6037690167874921</c:v>
                </c:pt>
                <c:pt idx="15">
                  <c:v>4.6817390823626504</c:v>
                </c:pt>
                <c:pt idx="16">
                  <c:v>4.6603287631373469</c:v>
                </c:pt>
                <c:pt idx="17">
                  <c:v>4.6478432013989508</c:v>
                </c:pt>
                <c:pt idx="18">
                  <c:v>4.7385347302898371</c:v>
                </c:pt>
                <c:pt idx="19">
                  <c:v>4.6478433014256169</c:v>
                </c:pt>
                <c:pt idx="20">
                  <c:v>4.6603286699477371</c:v>
                </c:pt>
                <c:pt idx="21">
                  <c:v>4.6817391901758523</c:v>
                </c:pt>
                <c:pt idx="22">
                  <c:v>4.6037688352441091</c:v>
                </c:pt>
                <c:pt idx="23">
                  <c:v>4.6284015231970903</c:v>
                </c:pt>
                <c:pt idx="24">
                  <c:v>4.5468226610679583</c:v>
                </c:pt>
                <c:pt idx="25">
                  <c:v>4.5560443716645782</c:v>
                </c:pt>
                <c:pt idx="26">
                  <c:v>4.4547435858080728</c:v>
                </c:pt>
                <c:pt idx="27">
                  <c:v>4.340470487240621</c:v>
                </c:pt>
                <c:pt idx="28">
                  <c:v>4.3096410598316055</c:v>
                </c:pt>
                <c:pt idx="29">
                  <c:v>4.261136248116224</c:v>
                </c:pt>
                <c:pt idx="30">
                  <c:v>4.0978243415227578</c:v>
                </c:pt>
                <c:pt idx="31">
                  <c:v>4.0178090736864576</c:v>
                </c:pt>
                <c:pt idx="32">
                  <c:v>3.9171919173751624</c:v>
                </c:pt>
                <c:pt idx="33">
                  <c:v>3.7940740454322071</c:v>
                </c:pt>
                <c:pt idx="34">
                  <c:v>3.6576531406262518</c:v>
                </c:pt>
                <c:pt idx="35">
                  <c:v>3.5025383931964647</c:v>
                </c:pt>
                <c:pt idx="36">
                  <c:v>3.3261427514127191</c:v>
                </c:pt>
                <c:pt idx="37">
                  <c:v>3.5025388335760361</c:v>
                </c:pt>
                <c:pt idx="38">
                  <c:v>3.6576532692024837</c:v>
                </c:pt>
                <c:pt idx="39">
                  <c:v>3.7940745472381612</c:v>
                </c:pt>
                <c:pt idx="40">
                  <c:v>3.9171922245199817</c:v>
                </c:pt>
                <c:pt idx="41">
                  <c:v>4.0178091040002357</c:v>
                </c:pt>
                <c:pt idx="42">
                  <c:v>4.097824751086562</c:v>
                </c:pt>
                <c:pt idx="43">
                  <c:v>4.2611364711226889</c:v>
                </c:pt>
                <c:pt idx="44">
                  <c:v>4.3096411652518896</c:v>
                </c:pt>
                <c:pt idx="45">
                  <c:v>4.340470507196752</c:v>
                </c:pt>
                <c:pt idx="46">
                  <c:v>4.4547435213293847</c:v>
                </c:pt>
                <c:pt idx="47">
                  <c:v>4.5560443215044666</c:v>
                </c:pt>
                <c:pt idx="48">
                  <c:v>4.5468226310701105</c:v>
                </c:pt>
                <c:pt idx="49">
                  <c:v>4.6284015690041977</c:v>
                </c:pt>
                <c:pt idx="50">
                  <c:v>4.6037689452045241</c:v>
                </c:pt>
                <c:pt idx="51">
                  <c:v>4.681739072686657</c:v>
                </c:pt>
                <c:pt idx="52">
                  <c:v>4.6603287049276165</c:v>
                </c:pt>
                <c:pt idx="53">
                  <c:v>4.647843201093921</c:v>
                </c:pt>
                <c:pt idx="54">
                  <c:v>4.7385346924885061</c:v>
                </c:pt>
                <c:pt idx="55">
                  <c:v>4.6478433017267413</c:v>
                </c:pt>
                <c:pt idx="56">
                  <c:v>4.6603287281540444</c:v>
                </c:pt>
                <c:pt idx="57">
                  <c:v>4.681739199849237</c:v>
                </c:pt>
                <c:pt idx="58">
                  <c:v>4.6037689068252066</c:v>
                </c:pt>
                <c:pt idx="59">
                  <c:v>4.6284015571118404</c:v>
                </c:pt>
                <c:pt idx="60">
                  <c:v>4.546822636402525</c:v>
                </c:pt>
                <c:pt idx="61">
                  <c:v>4.5560443203298773</c:v>
                </c:pt>
                <c:pt idx="62">
                  <c:v>4.4547435058665146</c:v>
                </c:pt>
                <c:pt idx="63">
                  <c:v>4.3404703957737478</c:v>
                </c:pt>
                <c:pt idx="64">
                  <c:v>4.3096409879584971</c:v>
                </c:pt>
                <c:pt idx="65">
                  <c:v>4.2611362088978932</c:v>
                </c:pt>
                <c:pt idx="66">
                  <c:v>4.0978243264439458</c:v>
                </c:pt>
                <c:pt idx="67">
                  <c:v>4.0178089954749385</c:v>
                </c:pt>
                <c:pt idx="68">
                  <c:v>3.9171919060224263</c:v>
                </c:pt>
                <c:pt idx="69">
                  <c:v>3.7940741073830675</c:v>
                </c:pt>
                <c:pt idx="70">
                  <c:v>3.6576531594512027</c:v>
                </c:pt>
                <c:pt idx="71">
                  <c:v>3.502538500049591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4D-460A-A884-A17968A0FB13}"/>
            </c:ext>
          </c:extLst>
        </c:ser>
        <c:ser>
          <c:idx val="6"/>
          <c:order val="1"/>
          <c:tx>
            <c:v>Solstice</c:v>
          </c:tx>
          <c:spPr>
            <a:ln>
              <a:solidFill>
                <a:srgbClr val="FFC000"/>
              </a:solidFill>
            </a:ln>
          </c:spPr>
          <c:marker>
            <c:symbol val="square"/>
            <c:size val="7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Lighting!$H$222:$H$293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Lighting!$K$222:$K$293</c:f>
              <c:numCache>
                <c:formatCode>0.00</c:formatCode>
                <c:ptCount val="72"/>
                <c:pt idx="0">
                  <c:v>4.1786770413331329</c:v>
                </c:pt>
                <c:pt idx="1">
                  <c:v>4.2734084019477594</c:v>
                </c:pt>
                <c:pt idx="2">
                  <c:v>4.2657608998651364</c:v>
                </c:pt>
                <c:pt idx="3">
                  <c:v>4.155717726899125</c:v>
                </c:pt>
                <c:pt idx="4">
                  <c:v>4.1353132733238809</c:v>
                </c:pt>
                <c:pt idx="5">
                  <c:v>4.1068555303150278</c:v>
                </c:pt>
                <c:pt idx="6">
                  <c:v>4.0710685919512519</c:v>
                </c:pt>
                <c:pt idx="7">
                  <c:v>4.0251888443403638</c:v>
                </c:pt>
                <c:pt idx="8">
                  <c:v>3.9675811147188091</c:v>
                </c:pt>
                <c:pt idx="9">
                  <c:v>3.8961389079727384</c:v>
                </c:pt>
                <c:pt idx="10">
                  <c:v>3.8086887591671124</c:v>
                </c:pt>
                <c:pt idx="11">
                  <c:v>3.7069480263759504</c:v>
                </c:pt>
                <c:pt idx="12">
                  <c:v>3.5936719919461737</c:v>
                </c:pt>
                <c:pt idx="13">
                  <c:v>3.4606571351095523</c:v>
                </c:pt>
                <c:pt idx="14">
                  <c:v>3.3445376715498942</c:v>
                </c:pt>
                <c:pt idx="15">
                  <c:v>3.4174824026299397</c:v>
                </c:pt>
                <c:pt idx="16">
                  <c:v>3.6374752693041095</c:v>
                </c:pt>
                <c:pt idx="17">
                  <c:v>3.7703851242791404</c:v>
                </c:pt>
                <c:pt idx="18">
                  <c:v>3.88891510168042</c:v>
                </c:pt>
                <c:pt idx="19">
                  <c:v>3.9923331432617584</c:v>
                </c:pt>
                <c:pt idx="20">
                  <c:v>4.1769698395155475</c:v>
                </c:pt>
                <c:pt idx="21">
                  <c:v>4.1517967929257269</c:v>
                </c:pt>
                <c:pt idx="22">
                  <c:v>4.3055953299907559</c:v>
                </c:pt>
                <c:pt idx="23">
                  <c:v>4.4381096293821072</c:v>
                </c:pt>
                <c:pt idx="24">
                  <c:v>4.4560989846630816</c:v>
                </c:pt>
                <c:pt idx="25">
                  <c:v>4.5513653671561052</c:v>
                </c:pt>
                <c:pt idx="26">
                  <c:v>4.6228349019831239</c:v>
                </c:pt>
                <c:pt idx="27">
                  <c:v>4.676292322640621</c:v>
                </c:pt>
                <c:pt idx="28">
                  <c:v>4.8023523339563026</c:v>
                </c:pt>
                <c:pt idx="29">
                  <c:v>4.9010780705232095</c:v>
                </c:pt>
                <c:pt idx="30">
                  <c:v>4.9726275862960945</c:v>
                </c:pt>
                <c:pt idx="31">
                  <c:v>5.1075597661343908</c:v>
                </c:pt>
                <c:pt idx="32">
                  <c:v>5.4685746725970379</c:v>
                </c:pt>
                <c:pt idx="33">
                  <c:v>5.8560365170747231</c:v>
                </c:pt>
                <c:pt idx="34">
                  <c:v>5.7006583786345697</c:v>
                </c:pt>
                <c:pt idx="35">
                  <c:v>5.5907723378627754</c:v>
                </c:pt>
                <c:pt idx="36">
                  <c:v>5.5492775612596468</c:v>
                </c:pt>
                <c:pt idx="37">
                  <c:v>5.5907724882468699</c:v>
                </c:pt>
                <c:pt idx="38">
                  <c:v>5.700658625248006</c:v>
                </c:pt>
                <c:pt idx="39">
                  <c:v>5.8560369079750076</c:v>
                </c:pt>
                <c:pt idx="40">
                  <c:v>5.4685750288145458</c:v>
                </c:pt>
                <c:pt idx="41">
                  <c:v>5.1075599602663386</c:v>
                </c:pt>
                <c:pt idx="42">
                  <c:v>4.9726277566747132</c:v>
                </c:pt>
                <c:pt idx="43">
                  <c:v>4.9010781690131688</c:v>
                </c:pt>
                <c:pt idx="44">
                  <c:v>4.802352301528396</c:v>
                </c:pt>
                <c:pt idx="45">
                  <c:v>4.6762921130460668</c:v>
                </c:pt>
                <c:pt idx="46">
                  <c:v>4.6228349286863786</c:v>
                </c:pt>
                <c:pt idx="47">
                  <c:v>4.551365132142247</c:v>
                </c:pt>
                <c:pt idx="48">
                  <c:v>4.4560986079603486</c:v>
                </c:pt>
                <c:pt idx="49">
                  <c:v>4.4381095104420245</c:v>
                </c:pt>
                <c:pt idx="50">
                  <c:v>4.305595053233481</c:v>
                </c:pt>
                <c:pt idx="51">
                  <c:v>4.1517963450245743</c:v>
                </c:pt>
                <c:pt idx="52">
                  <c:v>4.1769696060058221</c:v>
                </c:pt>
                <c:pt idx="53">
                  <c:v>3.9923327306850322</c:v>
                </c:pt>
                <c:pt idx="54">
                  <c:v>3.8889149988376919</c:v>
                </c:pt>
                <c:pt idx="55">
                  <c:v>3.7703847638081252</c:v>
                </c:pt>
                <c:pt idx="56">
                  <c:v>3.6374752356838971</c:v>
                </c:pt>
                <c:pt idx="57">
                  <c:v>3.4174822076968954</c:v>
                </c:pt>
                <c:pt idx="58">
                  <c:v>3.344537249759636</c:v>
                </c:pt>
                <c:pt idx="59">
                  <c:v>3.4606576587131914</c:v>
                </c:pt>
                <c:pt idx="60">
                  <c:v>3.5936722658438716</c:v>
                </c:pt>
                <c:pt idx="61">
                  <c:v>3.7069481628516687</c:v>
                </c:pt>
                <c:pt idx="62">
                  <c:v>3.8086892325442854</c:v>
                </c:pt>
                <c:pt idx="63">
                  <c:v>3.89613925838708</c:v>
                </c:pt>
                <c:pt idx="64">
                  <c:v>3.9675812522223168</c:v>
                </c:pt>
                <c:pt idx="65">
                  <c:v>4.025188878714645</c:v>
                </c:pt>
                <c:pt idx="66">
                  <c:v>4.0710685320614584</c:v>
                </c:pt>
                <c:pt idx="67">
                  <c:v>4.1068553831205286</c:v>
                </c:pt>
                <c:pt idx="68">
                  <c:v>4.1353134611920268</c:v>
                </c:pt>
                <c:pt idx="69">
                  <c:v>4.1557178833504125</c:v>
                </c:pt>
                <c:pt idx="70">
                  <c:v>4.2657609714062712</c:v>
                </c:pt>
                <c:pt idx="71">
                  <c:v>4.2734084594747008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4D-460A-A884-A17968A0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1584"/>
        <c:axId val="32011008"/>
      </c:scatterChart>
      <c:valAx>
        <c:axId val="31971584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Right</a:t>
                </a:r>
                <a:r>
                  <a:rPr lang="en-US" sz="1200" baseline="0"/>
                  <a:t> Assension of Ascending Node</a:t>
                </a:r>
                <a:endParaRPr lang="en-US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011008"/>
        <c:crosses val="autoZero"/>
        <c:crossBetween val="midCat"/>
      </c:valAx>
      <c:valAx>
        <c:axId val="320110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Power Watts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1971584"/>
        <c:crosses val="autoZero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r"/>
      <c:layout>
        <c:manualLayout>
          <c:xMode val="edge"/>
          <c:yMode val="edge"/>
          <c:x val="0.71799400140751601"/>
          <c:y val="0.24128304988452001"/>
          <c:w val="0.19952233470779099"/>
          <c:h val="0.139906529160215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Orbit Averaged Surface Lighting 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strRef>
              <c:f>Lighting!$O$221</c:f>
              <c:strCache>
                <c:ptCount val="1"/>
                <c:pt idx="0">
                  <c:v>Nadir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square"/>
            <c:size val="5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Lighting!$O$222:$O$293</c:f>
              <c:numCache>
                <c:formatCode>0.00</c:formatCode>
                <c:ptCount val="72"/>
                <c:pt idx="0">
                  <c:v>2.4271696968489548E-2</c:v>
                </c:pt>
                <c:pt idx="1">
                  <c:v>2.4656648093085088E-2</c:v>
                </c:pt>
                <c:pt idx="2">
                  <c:v>2.4367553460842083E-2</c:v>
                </c:pt>
                <c:pt idx="3">
                  <c:v>2.3878156131426503E-2</c:v>
                </c:pt>
                <c:pt idx="4">
                  <c:v>2.3880148316849592E-2</c:v>
                </c:pt>
                <c:pt idx="5">
                  <c:v>2.3233332819464877E-2</c:v>
                </c:pt>
                <c:pt idx="6">
                  <c:v>2.2371615536873609E-2</c:v>
                </c:pt>
                <c:pt idx="7">
                  <c:v>2.7074261116266783E-2</c:v>
                </c:pt>
                <c:pt idx="8">
                  <c:v>2.6207318856952048E-2</c:v>
                </c:pt>
                <c:pt idx="9">
                  <c:v>2.5275179868086049E-2</c:v>
                </c:pt>
                <c:pt idx="10">
                  <c:v>2.9420874020061234E-2</c:v>
                </c:pt>
                <c:pt idx="11">
                  <c:v>3.3360179829337339E-2</c:v>
                </c:pt>
                <c:pt idx="12">
                  <c:v>3.1995718199478509E-2</c:v>
                </c:pt>
                <c:pt idx="13">
                  <c:v>3.5934099639947231E-2</c:v>
                </c:pt>
                <c:pt idx="14">
                  <c:v>3.4342990204993262E-2</c:v>
                </c:pt>
                <c:pt idx="15">
                  <c:v>3.8578743052384637E-2</c:v>
                </c:pt>
                <c:pt idx="16">
                  <c:v>3.7565095301750374E-2</c:v>
                </c:pt>
                <c:pt idx="17">
                  <c:v>3.696047557732686E-2</c:v>
                </c:pt>
                <c:pt idx="18">
                  <c:v>4.1798226747669393E-2</c:v>
                </c:pt>
                <c:pt idx="19">
                  <c:v>3.6960460534367162E-2</c:v>
                </c:pt>
                <c:pt idx="20">
                  <c:v>3.756504772401003E-2</c:v>
                </c:pt>
                <c:pt idx="21">
                  <c:v>3.8578680438839219E-2</c:v>
                </c:pt>
                <c:pt idx="22">
                  <c:v>3.4342886097355349E-2</c:v>
                </c:pt>
                <c:pt idx="23">
                  <c:v>3.5933977875392584E-2</c:v>
                </c:pt>
                <c:pt idx="24">
                  <c:v>3.1995614539099014E-2</c:v>
                </c:pt>
                <c:pt idx="25">
                  <c:v>3.3360072248828976E-2</c:v>
                </c:pt>
                <c:pt idx="26">
                  <c:v>2.9420787246432076E-2</c:v>
                </c:pt>
                <c:pt idx="27">
                  <c:v>2.5275080784083595E-2</c:v>
                </c:pt>
                <c:pt idx="28">
                  <c:v>2.6207215532926945E-2</c:v>
                </c:pt>
                <c:pt idx="29">
                  <c:v>2.7074153520403044E-2</c:v>
                </c:pt>
                <c:pt idx="30">
                  <c:v>2.2371494028516906E-2</c:v>
                </c:pt>
                <c:pt idx="31">
                  <c:v>2.3233252388565835E-2</c:v>
                </c:pt>
                <c:pt idx="32">
                  <c:v>2.388002244285509E-2</c:v>
                </c:pt>
                <c:pt idx="33">
                  <c:v>2.3878026829119072E-2</c:v>
                </c:pt>
                <c:pt idx="34">
                  <c:v>2.4367468850401208E-2</c:v>
                </c:pt>
                <c:pt idx="35">
                  <c:v>2.4656517237215247E-2</c:v>
                </c:pt>
                <c:pt idx="36">
                  <c:v>2.4271587532997393E-2</c:v>
                </c:pt>
                <c:pt idx="37">
                  <c:v>2.4656538892740925E-2</c:v>
                </c:pt>
                <c:pt idx="38">
                  <c:v>2.4367446334897184E-2</c:v>
                </c:pt>
                <c:pt idx="39">
                  <c:v>2.3878048589556829E-2</c:v>
                </c:pt>
                <c:pt idx="40">
                  <c:v>2.3880042452113219E-2</c:v>
                </c:pt>
                <c:pt idx="41">
                  <c:v>2.3233230464375802E-2</c:v>
                </c:pt>
                <c:pt idx="42">
                  <c:v>2.2371513981398396E-2</c:v>
                </c:pt>
                <c:pt idx="43">
                  <c:v>2.7074152846700471E-2</c:v>
                </c:pt>
                <c:pt idx="44">
                  <c:v>2.6207213987531629E-2</c:v>
                </c:pt>
                <c:pt idx="45">
                  <c:v>2.5275078671035199E-2</c:v>
                </c:pt>
                <c:pt idx="46">
                  <c:v>2.9420768425004698E-2</c:v>
                </c:pt>
                <c:pt idx="47">
                  <c:v>3.3360068992635675E-2</c:v>
                </c:pt>
                <c:pt idx="48">
                  <c:v>3.1995611867292044E-2</c:v>
                </c:pt>
                <c:pt idx="49">
                  <c:v>3.5933988970895822E-2</c:v>
                </c:pt>
                <c:pt idx="50">
                  <c:v>3.4342883622052664E-2</c:v>
                </c:pt>
                <c:pt idx="51">
                  <c:v>3.8578662502770644E-2</c:v>
                </c:pt>
                <c:pt idx="52">
                  <c:v>3.7565032567118642E-2</c:v>
                </c:pt>
                <c:pt idx="53">
                  <c:v>3.6960443771257456E-2</c:v>
                </c:pt>
                <c:pt idx="54">
                  <c:v>4.1798218954258747E-2</c:v>
                </c:pt>
                <c:pt idx="55">
                  <c:v>3.6960476812713389E-2</c:v>
                </c:pt>
                <c:pt idx="56">
                  <c:v>3.7565095108414812E-2</c:v>
                </c:pt>
                <c:pt idx="57">
                  <c:v>3.8578745932551443E-2</c:v>
                </c:pt>
                <c:pt idx="58">
                  <c:v>3.4342978033103801E-2</c:v>
                </c:pt>
                <c:pt idx="59">
                  <c:v>3.5934088547095323E-2</c:v>
                </c:pt>
                <c:pt idx="60">
                  <c:v>3.1995720873621472E-2</c:v>
                </c:pt>
                <c:pt idx="61">
                  <c:v>3.3360183087742641E-2</c:v>
                </c:pt>
                <c:pt idx="62">
                  <c:v>2.9420892843379006E-2</c:v>
                </c:pt>
                <c:pt idx="63">
                  <c:v>2.5275181982725894E-2</c:v>
                </c:pt>
                <c:pt idx="64">
                  <c:v>2.6207320403792707E-2</c:v>
                </c:pt>
                <c:pt idx="65">
                  <c:v>2.7074261791256438E-2</c:v>
                </c:pt>
                <c:pt idx="66">
                  <c:v>2.2371595585004612E-2</c:v>
                </c:pt>
                <c:pt idx="67">
                  <c:v>2.323335474450805E-2</c:v>
                </c:pt>
                <c:pt idx="68">
                  <c:v>2.3880128308291022E-2</c:v>
                </c:pt>
                <c:pt idx="69">
                  <c:v>2.3878134371515109E-2</c:v>
                </c:pt>
                <c:pt idx="70">
                  <c:v>2.4367575976695359E-2</c:v>
                </c:pt>
                <c:pt idx="71">
                  <c:v>2.4656626437743325E-2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AD-420A-BFEB-3C8A065BBEEB}"/>
            </c:ext>
          </c:extLst>
        </c:ser>
        <c:ser>
          <c:idx val="5"/>
          <c:order val="1"/>
          <c:tx>
            <c:strRef>
              <c:f>Lighting!$P$221</c:f>
              <c:strCache>
                <c:ptCount val="1"/>
                <c:pt idx="0">
                  <c:v>Away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Lighting!$P$222:$P$293</c:f>
              <c:numCache>
                <c:formatCode>0.00</c:formatCode>
                <c:ptCount val="72"/>
                <c:pt idx="0">
                  <c:v>0.32258806626847319</c:v>
                </c:pt>
                <c:pt idx="1">
                  <c:v>0.32213303093992746</c:v>
                </c:pt>
                <c:pt idx="2">
                  <c:v>0.31987518199453752</c:v>
                </c:pt>
                <c:pt idx="3">
                  <c:v>0.31608950293102417</c:v>
                </c:pt>
                <c:pt idx="4">
                  <c:v>0.31127265813008126</c:v>
                </c:pt>
                <c:pt idx="5">
                  <c:v>0.30492221645361162</c:v>
                </c:pt>
                <c:pt idx="6">
                  <c:v>0.29724563969674489</c:v>
                </c:pt>
                <c:pt idx="7">
                  <c:v>0.28896958759607849</c:v>
                </c:pt>
                <c:pt idx="8">
                  <c:v>0.27971652772166494</c:v>
                </c:pt>
                <c:pt idx="9">
                  <c:v>0.26976760982914982</c:v>
                </c:pt>
                <c:pt idx="10">
                  <c:v>0.25942512700114978</c:v>
                </c:pt>
                <c:pt idx="11">
                  <c:v>0.24900333062440583</c:v>
                </c:pt>
                <c:pt idx="12">
                  <c:v>0.23881888201973783</c:v>
                </c:pt>
                <c:pt idx="13">
                  <c:v>0.22918123084714065</c:v>
                </c:pt>
                <c:pt idx="14">
                  <c:v>0.22038321263326702</c:v>
                </c:pt>
                <c:pt idx="15">
                  <c:v>0.21332115910228794</c:v>
                </c:pt>
                <c:pt idx="16">
                  <c:v>0.20771621576979579</c:v>
                </c:pt>
                <c:pt idx="17">
                  <c:v>0.20437299419337865</c:v>
                </c:pt>
                <c:pt idx="18">
                  <c:v>0.20301140871987933</c:v>
                </c:pt>
                <c:pt idx="19">
                  <c:v>0.20437303139643542</c:v>
                </c:pt>
                <c:pt idx="20">
                  <c:v>0.20771626627775425</c:v>
                </c:pt>
                <c:pt idx="21">
                  <c:v>0.21332124986064741</c:v>
                </c:pt>
                <c:pt idx="22">
                  <c:v>0.22038330937900158</c:v>
                </c:pt>
                <c:pt idx="23">
                  <c:v>0.22918136054083516</c:v>
                </c:pt>
                <c:pt idx="24">
                  <c:v>0.23881904071886456</c:v>
                </c:pt>
                <c:pt idx="25">
                  <c:v>0.24900351399792506</c:v>
                </c:pt>
                <c:pt idx="26">
                  <c:v>0.25942533043535138</c:v>
                </c:pt>
                <c:pt idx="27">
                  <c:v>0.26976782853852777</c:v>
                </c:pt>
                <c:pt idx="28">
                  <c:v>0.27971675686168074</c:v>
                </c:pt>
                <c:pt idx="29">
                  <c:v>0.28896982237463531</c:v>
                </c:pt>
                <c:pt idx="30">
                  <c:v>0.29724587548125747</c:v>
                </c:pt>
                <c:pt idx="31">
                  <c:v>0.30492249404753557</c:v>
                </c:pt>
                <c:pt idx="32">
                  <c:v>0.31127292929527062</c:v>
                </c:pt>
                <c:pt idx="33">
                  <c:v>0.31608976381543397</c:v>
                </c:pt>
                <c:pt idx="34">
                  <c:v>0.31987547675271161</c:v>
                </c:pt>
                <c:pt idx="35">
                  <c:v>0.32213330946113067</c:v>
                </c:pt>
                <c:pt idx="36">
                  <c:v>0.32258834919966894</c:v>
                </c:pt>
                <c:pt idx="37">
                  <c:v>0.32213331257008038</c:v>
                </c:pt>
                <c:pt idx="38">
                  <c:v>0.31987546018809837</c:v>
                </c:pt>
                <c:pt idx="39">
                  <c:v>0.31608977403209565</c:v>
                </c:pt>
                <c:pt idx="40">
                  <c:v>0.31127292163755821</c:v>
                </c:pt>
                <c:pt idx="41">
                  <c:v>0.30492247040274095</c:v>
                </c:pt>
                <c:pt idx="42">
                  <c:v>0.29724588054895634</c:v>
                </c:pt>
                <c:pt idx="43">
                  <c:v>0.28896981517497106</c:v>
                </c:pt>
                <c:pt idx="44">
                  <c:v>0.27971674035710975</c:v>
                </c:pt>
                <c:pt idx="45">
                  <c:v>0.26976780597422551</c:v>
                </c:pt>
                <c:pt idx="46">
                  <c:v>0.25942530524060992</c:v>
                </c:pt>
                <c:pt idx="47">
                  <c:v>0.24900348968195585</c:v>
                </c:pt>
                <c:pt idx="48">
                  <c:v>0.2388190207641738</c:v>
                </c:pt>
                <c:pt idx="49">
                  <c:v>0.22918134829741046</c:v>
                </c:pt>
                <c:pt idx="50">
                  <c:v>0.22038330796252389</c:v>
                </c:pt>
                <c:pt idx="51">
                  <c:v>0.21332123393942945</c:v>
                </c:pt>
                <c:pt idx="52">
                  <c:v>0.20771626735156526</c:v>
                </c:pt>
                <c:pt idx="53">
                  <c:v>0.20437302457018033</c:v>
                </c:pt>
                <c:pt idx="54">
                  <c:v>0.20301141651123975</c:v>
                </c:pt>
                <c:pt idx="55">
                  <c:v>0.20437301654305765</c:v>
                </c:pt>
                <c:pt idx="56">
                  <c:v>0.20771623004196843</c:v>
                </c:pt>
                <c:pt idx="57">
                  <c:v>0.2133211900752576</c:v>
                </c:pt>
                <c:pt idx="58">
                  <c:v>0.22038322869271024</c:v>
                </c:pt>
                <c:pt idx="59">
                  <c:v>0.22918125721330446</c:v>
                </c:pt>
                <c:pt idx="60">
                  <c:v>0.23881891546945855</c:v>
                </c:pt>
                <c:pt idx="61">
                  <c:v>0.24900336770499104</c:v>
                </c:pt>
                <c:pt idx="62">
                  <c:v>0.25942516413294697</c:v>
                </c:pt>
                <c:pt idx="63">
                  <c:v>0.26976764341209952</c:v>
                </c:pt>
                <c:pt idx="64">
                  <c:v>0.27971655424261682</c:v>
                </c:pt>
                <c:pt idx="65">
                  <c:v>0.28896960373362673</c:v>
                </c:pt>
                <c:pt idx="66">
                  <c:v>0.29724564242041085</c:v>
                </c:pt>
                <c:pt idx="67">
                  <c:v>0.30492224668395629</c:v>
                </c:pt>
                <c:pt idx="68">
                  <c:v>0.31127267111740847</c:v>
                </c:pt>
                <c:pt idx="69">
                  <c:v>0.31608949674748071</c:v>
                </c:pt>
                <c:pt idx="70">
                  <c:v>0.3198752012650789</c:v>
                </c:pt>
                <c:pt idx="71">
                  <c:v>0.32213302918912201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AD-420A-BFEB-3C8A065BBEEB}"/>
            </c:ext>
          </c:extLst>
        </c:ser>
        <c:ser>
          <c:idx val="6"/>
          <c:order val="2"/>
          <c:tx>
            <c:strRef>
              <c:f>Lighting!$Q$221</c:f>
              <c:strCache>
                <c:ptCount val="1"/>
                <c:pt idx="0">
                  <c:v>Ram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triang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Lighting!$Q$222:$Q$293</c:f>
              <c:numCache>
                <c:formatCode>0.00</c:formatCode>
                <c:ptCount val="72"/>
                <c:pt idx="0">
                  <c:v>0.22307774698461635</c:v>
                </c:pt>
                <c:pt idx="1">
                  <c:v>0.22747677773423447</c:v>
                </c:pt>
                <c:pt idx="2">
                  <c:v>0.21770406351206809</c:v>
                </c:pt>
                <c:pt idx="3">
                  <c:v>0.21965676589634889</c:v>
                </c:pt>
                <c:pt idx="4">
                  <c:v>0.2204235492976073</c:v>
                </c:pt>
                <c:pt idx="5">
                  <c:v>0.20747041101210975</c:v>
                </c:pt>
                <c:pt idx="6">
                  <c:v>0.20562814423935688</c:v>
                </c:pt>
                <c:pt idx="7">
                  <c:v>0.20261902113680527</c:v>
                </c:pt>
                <c:pt idx="8">
                  <c:v>0.19821998579975109</c:v>
                </c:pt>
                <c:pt idx="9">
                  <c:v>0.19256470052935434</c:v>
                </c:pt>
                <c:pt idx="10">
                  <c:v>0.18582499813569539</c:v>
                </c:pt>
                <c:pt idx="11">
                  <c:v>0.18779149765332592</c:v>
                </c:pt>
                <c:pt idx="12">
                  <c:v>0.17917546521079344</c:v>
                </c:pt>
                <c:pt idx="13">
                  <c:v>0.17874001543218304</c:v>
                </c:pt>
                <c:pt idx="14">
                  <c:v>0.16952215543734819</c:v>
                </c:pt>
                <c:pt idx="15">
                  <c:v>0.16869743704190876</c:v>
                </c:pt>
                <c:pt idx="16">
                  <c:v>0.16068404710186526</c:v>
                </c:pt>
                <c:pt idx="17">
                  <c:v>0.16140403892862945</c:v>
                </c:pt>
                <c:pt idx="18">
                  <c:v>0.16335739027132404</c:v>
                </c:pt>
                <c:pt idx="19">
                  <c:v>0.16019265000014085</c:v>
                </c:pt>
                <c:pt idx="20">
                  <c:v>0.166173494085505</c:v>
                </c:pt>
                <c:pt idx="21">
                  <c:v>0.16697995882762065</c:v>
                </c:pt>
                <c:pt idx="22">
                  <c:v>0.16938206800875033</c:v>
                </c:pt>
                <c:pt idx="23">
                  <c:v>0.17355358107562974</c:v>
                </c:pt>
                <c:pt idx="24">
                  <c:v>0.17905322948648514</c:v>
                </c:pt>
                <c:pt idx="25">
                  <c:v>0.18571390919354067</c:v>
                </c:pt>
                <c:pt idx="26">
                  <c:v>0.19333323880947823</c:v>
                </c:pt>
                <c:pt idx="27">
                  <c:v>0.19121210448832993</c:v>
                </c:pt>
                <c:pt idx="28">
                  <c:v>0.1997103596328699</c:v>
                </c:pt>
                <c:pt idx="29">
                  <c:v>0.20847492032042644</c:v>
                </c:pt>
                <c:pt idx="30">
                  <c:v>0.20547461571330242</c:v>
                </c:pt>
                <c:pt idx="31">
                  <c:v>0.21413175996514788</c:v>
                </c:pt>
                <c:pt idx="32">
                  <c:v>0.209891598589345</c:v>
                </c:pt>
                <c:pt idx="33">
                  <c:v>0.2174712620850697</c:v>
                </c:pt>
                <c:pt idx="34">
                  <c:v>0.22457502251861716</c:v>
                </c:pt>
                <c:pt idx="35">
                  <c:v>0.21787564484465707</c:v>
                </c:pt>
                <c:pt idx="36">
                  <c:v>0.22307762589446267</c:v>
                </c:pt>
                <c:pt idx="37">
                  <c:v>0.22747663791360936</c:v>
                </c:pt>
                <c:pt idx="38">
                  <c:v>0.21770392512674869</c:v>
                </c:pt>
                <c:pt idx="39">
                  <c:v>0.21965662121070578</c:v>
                </c:pt>
                <c:pt idx="40">
                  <c:v>0.22042341156251105</c:v>
                </c:pt>
                <c:pt idx="41">
                  <c:v>0.20747027548307187</c:v>
                </c:pt>
                <c:pt idx="42">
                  <c:v>0.20562800308170903</c:v>
                </c:pt>
                <c:pt idx="43">
                  <c:v>0.20261888653548152</c:v>
                </c:pt>
                <c:pt idx="44">
                  <c:v>0.1982198572407666</c:v>
                </c:pt>
                <c:pt idx="45">
                  <c:v>0.19256457731513052</c:v>
                </c:pt>
                <c:pt idx="46">
                  <c:v>0.18582487940625583</c:v>
                </c:pt>
                <c:pt idx="47">
                  <c:v>0.18779138697648409</c:v>
                </c:pt>
                <c:pt idx="48">
                  <c:v>0.17917535668829865</c:v>
                </c:pt>
                <c:pt idx="49">
                  <c:v>0.1787399126702314</c:v>
                </c:pt>
                <c:pt idx="50">
                  <c:v>0.16952205203583678</c:v>
                </c:pt>
                <c:pt idx="51">
                  <c:v>0.1686973293041743</c:v>
                </c:pt>
                <c:pt idx="52">
                  <c:v>0.16068393166922196</c:v>
                </c:pt>
                <c:pt idx="53">
                  <c:v>0.16140392301368528</c:v>
                </c:pt>
                <c:pt idx="54">
                  <c:v>0.16335726704963838</c:v>
                </c:pt>
                <c:pt idx="55">
                  <c:v>0.16019253469288502</c:v>
                </c:pt>
                <c:pt idx="56">
                  <c:v>0.1661733852901616</c:v>
                </c:pt>
                <c:pt idx="57">
                  <c:v>0.16697985351412584</c:v>
                </c:pt>
                <c:pt idx="58">
                  <c:v>0.16938197780018838</c:v>
                </c:pt>
                <c:pt idx="59">
                  <c:v>0.17355349863963612</c:v>
                </c:pt>
                <c:pt idx="60">
                  <c:v>0.17905315669560512</c:v>
                </c:pt>
                <c:pt idx="61">
                  <c:v>0.18571384776921585</c:v>
                </c:pt>
                <c:pt idx="62">
                  <c:v>0.19333319029761314</c:v>
                </c:pt>
                <c:pt idx="63">
                  <c:v>0.1912120741564157</c:v>
                </c:pt>
                <c:pt idx="64">
                  <c:v>0.19971034501226947</c:v>
                </c:pt>
                <c:pt idx="65">
                  <c:v>0.20847492237545207</c:v>
                </c:pt>
                <c:pt idx="66">
                  <c:v>0.20547463932162865</c:v>
                </c:pt>
                <c:pt idx="67">
                  <c:v>0.21413178936775301</c:v>
                </c:pt>
                <c:pt idx="68">
                  <c:v>0.20989165045191194</c:v>
                </c:pt>
                <c:pt idx="69">
                  <c:v>0.21747133280365663</c:v>
                </c:pt>
                <c:pt idx="70">
                  <c:v>0.22457509889489266</c:v>
                </c:pt>
                <c:pt idx="71">
                  <c:v>0.2178757439679487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AD-420A-BFEB-3C8A065BBEEB}"/>
            </c:ext>
          </c:extLst>
        </c:ser>
        <c:ser>
          <c:idx val="7"/>
          <c:order val="3"/>
          <c:tx>
            <c:strRef>
              <c:f>Lighting!$R$221</c:f>
              <c:strCache>
                <c:ptCount val="1"/>
                <c:pt idx="0">
                  <c:v>Left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x"/>
            <c:size val="5"/>
            <c:spPr>
              <a:noFill/>
              <a:ln>
                <a:solidFill>
                  <a:srgbClr val="00B0F0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Lighting!$R$222:$R$293</c:f>
              <c:numCache>
                <c:formatCode>0.00</c:formatCode>
                <c:ptCount val="72"/>
                <c:pt idx="0">
                  <c:v>1.647757353678563E-12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4.2563500327717738E-8</c:v>
                </c:pt>
                <c:pt idx="37">
                  <c:v>4.2929241715430881E-2</c:v>
                </c:pt>
                <c:pt idx="38">
                  <c:v>8.5531723398563797E-2</c:v>
                </c:pt>
                <c:pt idx="39">
                  <c:v>0.12748325698538815</c:v>
                </c:pt>
                <c:pt idx="40">
                  <c:v>0.16846456595672338</c:v>
                </c:pt>
                <c:pt idx="41">
                  <c:v>0.20816375778896079</c:v>
                </c:pt>
                <c:pt idx="42">
                  <c:v>0.24627869764462343</c:v>
                </c:pt>
                <c:pt idx="43">
                  <c:v>0.28879751464099523</c:v>
                </c:pt>
                <c:pt idx="44">
                  <c:v>0.32364554810181767</c:v>
                </c:pt>
                <c:pt idx="45">
                  <c:v>0.35603044338365419</c:v>
                </c:pt>
                <c:pt idx="46">
                  <c:v>0.39409063907973774</c:v>
                </c:pt>
                <c:pt idx="47">
                  <c:v>0.43037798261274784</c:v>
                </c:pt>
                <c:pt idx="48">
                  <c:v>0.45500498243427329</c:v>
                </c:pt>
                <c:pt idx="49">
                  <c:v>0.48608930939724448</c:v>
                </c:pt>
                <c:pt idx="50">
                  <c:v>0.50399493253625427</c:v>
                </c:pt>
                <c:pt idx="51">
                  <c:v>0.52863760174214525</c:v>
                </c:pt>
                <c:pt idx="52">
                  <c:v>0.53897140850945935</c:v>
                </c:pt>
                <c:pt idx="53">
                  <c:v>0.54520331719269532</c:v>
                </c:pt>
                <c:pt idx="54">
                  <c:v>0.55823161718521574</c:v>
                </c:pt>
                <c:pt idx="55">
                  <c:v>0.54520330482762547</c:v>
                </c:pt>
                <c:pt idx="56">
                  <c:v>0.53897138387342669</c:v>
                </c:pt>
                <c:pt idx="57">
                  <c:v>0.52863756502264225</c:v>
                </c:pt>
                <c:pt idx="58">
                  <c:v>0.50399488498321077</c:v>
                </c:pt>
                <c:pt idx="59">
                  <c:v>0.48608925063817598</c:v>
                </c:pt>
                <c:pt idx="60">
                  <c:v>0.45500491433510704</c:v>
                </c:pt>
                <c:pt idx="61">
                  <c:v>0.43037790449259361</c:v>
                </c:pt>
                <c:pt idx="62">
                  <c:v>0.39409055335702642</c:v>
                </c:pt>
                <c:pt idx="63">
                  <c:v>0.35603035108967168</c:v>
                </c:pt>
                <c:pt idx="64">
                  <c:v>0.32364544811509177</c:v>
                </c:pt>
                <c:pt idx="65">
                  <c:v>0.28879740772248585</c:v>
                </c:pt>
                <c:pt idx="66">
                  <c:v>0.24627858706535968</c:v>
                </c:pt>
                <c:pt idx="67">
                  <c:v>0.20816364206620491</c:v>
                </c:pt>
                <c:pt idx="68">
                  <c:v>0.16846444597119048</c:v>
                </c:pt>
                <c:pt idx="69">
                  <c:v>0.12748313365024588</c:v>
                </c:pt>
                <c:pt idx="70">
                  <c:v>8.5531597652467387E-2</c:v>
                </c:pt>
                <c:pt idx="71">
                  <c:v>4.2929114515378716E-2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AD-420A-BFEB-3C8A065BBEEB}"/>
            </c:ext>
          </c:extLst>
        </c:ser>
        <c:ser>
          <c:idx val="8"/>
          <c:order val="4"/>
          <c:tx>
            <c:strRef>
              <c:f>Lighting!$S$221</c:f>
              <c:strCache>
                <c:ptCount val="1"/>
                <c:pt idx="0">
                  <c:v>Tail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Lighting!$S$222:$S$293</c:f>
              <c:numCache>
                <c:formatCode>0.00</c:formatCode>
                <c:ptCount val="72"/>
                <c:pt idx="0">
                  <c:v>0.22307749702277821</c:v>
                </c:pt>
                <c:pt idx="1">
                  <c:v>0.21787552104555452</c:v>
                </c:pt>
                <c:pt idx="2">
                  <c:v>0.22457487266918919</c:v>
                </c:pt>
                <c:pt idx="3">
                  <c:v>0.21747111906141572</c:v>
                </c:pt>
                <c:pt idx="4">
                  <c:v>0.20989142843791406</c:v>
                </c:pt>
                <c:pt idx="5">
                  <c:v>0.21413156893764157</c:v>
                </c:pt>
                <c:pt idx="6">
                  <c:v>0.20547443610557825</c:v>
                </c:pt>
                <c:pt idx="7">
                  <c:v>0.20847472482409365</c:v>
                </c:pt>
                <c:pt idx="8">
                  <c:v>0.19971014762648059</c:v>
                </c:pt>
                <c:pt idx="9">
                  <c:v>0.19121187970918493</c:v>
                </c:pt>
                <c:pt idx="10">
                  <c:v>0.19333300877014564</c:v>
                </c:pt>
                <c:pt idx="11">
                  <c:v>0.1857136739036335</c:v>
                </c:pt>
                <c:pt idx="12">
                  <c:v>0.17905299279708825</c:v>
                </c:pt>
                <c:pt idx="13">
                  <c:v>0.17355334666901015</c:v>
                </c:pt>
                <c:pt idx="14">
                  <c:v>0.16938183931219841</c:v>
                </c:pt>
                <c:pt idx="15">
                  <c:v>0.16697971554928118</c:v>
                </c:pt>
                <c:pt idx="16">
                  <c:v>0.16617326302131183</c:v>
                </c:pt>
                <c:pt idx="17">
                  <c:v>0.16019240699395898</c:v>
                </c:pt>
                <c:pt idx="18">
                  <c:v>0.16335715191574671</c:v>
                </c:pt>
                <c:pt idx="19">
                  <c:v>0.16140380173227914</c:v>
                </c:pt>
                <c:pt idx="20">
                  <c:v>0.16068379910130853</c:v>
                </c:pt>
                <c:pt idx="21">
                  <c:v>0.1686972035632851</c:v>
                </c:pt>
                <c:pt idx="22">
                  <c:v>0.16952190667035777</c:v>
                </c:pt>
                <c:pt idx="23">
                  <c:v>0.17873977733540672</c:v>
                </c:pt>
                <c:pt idx="24">
                  <c:v>0.17917521033020348</c:v>
                </c:pt>
                <c:pt idx="25">
                  <c:v>0.18779123537074038</c:v>
                </c:pt>
                <c:pt idx="26">
                  <c:v>0.18582471046236762</c:v>
                </c:pt>
                <c:pt idx="27">
                  <c:v>0.19256439744706397</c:v>
                </c:pt>
                <c:pt idx="28">
                  <c:v>0.19821966435377258</c:v>
                </c:pt>
                <c:pt idx="29">
                  <c:v>0.20261867893038443</c:v>
                </c:pt>
                <c:pt idx="30">
                  <c:v>0.20562777950653535</c:v>
                </c:pt>
                <c:pt idx="31">
                  <c:v>0.20747005695574502</c:v>
                </c:pt>
                <c:pt idx="32">
                  <c:v>0.22042318538497865</c:v>
                </c:pt>
                <c:pt idx="33">
                  <c:v>0.21965637810284655</c:v>
                </c:pt>
                <c:pt idx="34">
                  <c:v>0.2177036886027624</c:v>
                </c:pt>
                <c:pt idx="35">
                  <c:v>0.22747639488499605</c:v>
                </c:pt>
                <c:pt idx="36">
                  <c:v>0.22307737976817657</c:v>
                </c:pt>
                <c:pt idx="37">
                  <c:v>0.2178753972432686</c:v>
                </c:pt>
                <c:pt idx="38">
                  <c:v>0.22457477189599345</c:v>
                </c:pt>
                <c:pt idx="39">
                  <c:v>0.21747102441367755</c:v>
                </c:pt>
                <c:pt idx="40">
                  <c:v>0.20989135329607986</c:v>
                </c:pt>
                <c:pt idx="41">
                  <c:v>0.21413151708280309</c:v>
                </c:pt>
                <c:pt idx="42">
                  <c:v>0.2054743910429486</c:v>
                </c:pt>
                <c:pt idx="43">
                  <c:v>0.20847470247595443</c:v>
                </c:pt>
                <c:pt idx="44">
                  <c:v>0.19971014326961808</c:v>
                </c:pt>
                <c:pt idx="45">
                  <c:v>0.19121189252371618</c:v>
                </c:pt>
                <c:pt idx="46">
                  <c:v>0.1933330413580083</c:v>
                </c:pt>
                <c:pt idx="47">
                  <c:v>0.18571372111854462</c:v>
                </c:pt>
                <c:pt idx="48">
                  <c:v>0.17905305320128495</c:v>
                </c:pt>
                <c:pt idx="49">
                  <c:v>0.17355341863532084</c:v>
                </c:pt>
                <c:pt idx="50">
                  <c:v>0.16938192104775829</c:v>
                </c:pt>
                <c:pt idx="51">
                  <c:v>0.1669798144509356</c:v>
                </c:pt>
                <c:pt idx="52">
                  <c:v>0.16617336751477901</c:v>
                </c:pt>
                <c:pt idx="53">
                  <c:v>0.16019252014205143</c:v>
                </c:pt>
                <c:pt idx="54">
                  <c:v>0.16335726612529322</c:v>
                </c:pt>
                <c:pt idx="55">
                  <c:v>0.16140391980634511</c:v>
                </c:pt>
                <c:pt idx="56">
                  <c:v>0.16068391883578986</c:v>
                </c:pt>
                <c:pt idx="57">
                  <c:v>0.1686973177128287</c:v>
                </c:pt>
                <c:pt idx="58">
                  <c:v>0.16952201854486182</c:v>
                </c:pt>
                <c:pt idx="59">
                  <c:v>0.17873988009752956</c:v>
                </c:pt>
                <c:pt idx="60">
                  <c:v>0.17917531885287863</c:v>
                </c:pt>
                <c:pt idx="61">
                  <c:v>0.18779134604778086</c:v>
                </c:pt>
                <c:pt idx="62">
                  <c:v>0.18582482919201193</c:v>
                </c:pt>
                <c:pt idx="63">
                  <c:v>0.19256452066150903</c:v>
                </c:pt>
                <c:pt idx="64">
                  <c:v>0.19821979291299385</c:v>
                </c:pt>
                <c:pt idx="65">
                  <c:v>0.2026188135319589</c:v>
                </c:pt>
                <c:pt idx="66">
                  <c:v>0.2056279206644461</c:v>
                </c:pt>
                <c:pt idx="67">
                  <c:v>0.20747019248505844</c:v>
                </c:pt>
                <c:pt idx="68">
                  <c:v>0.22042332312037677</c:v>
                </c:pt>
                <c:pt idx="69" formatCode="General">
                  <c:v>0.21965652278879905</c:v>
                </c:pt>
                <c:pt idx="70" formatCode="General">
                  <c:v>0.21770382698839785</c:v>
                </c:pt>
                <c:pt idx="71" formatCode="General">
                  <c:v>0.22747653470596044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6AD-420A-BFEB-3C8A065BBEEB}"/>
            </c:ext>
          </c:extLst>
        </c:ser>
        <c:ser>
          <c:idx val="9"/>
          <c:order val="5"/>
          <c:tx>
            <c:strRef>
              <c:f>Lighting!$T$221</c:f>
              <c:strCache>
                <c:ptCount val="1"/>
                <c:pt idx="0">
                  <c:v>Right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Lighting!$N$222:$N$293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Lighting!$T$222:$T$293</c:f>
              <c:numCache>
                <c:formatCode>0.00</c:formatCode>
                <c:ptCount val="72"/>
                <c:pt idx="0">
                  <c:v>1.2532463054889886E-13</c:v>
                </c:pt>
                <c:pt idx="1">
                  <c:v>4.2929199312378118E-2</c:v>
                </c:pt>
                <c:pt idx="2">
                  <c:v>8.5531681480182267E-2</c:v>
                </c:pt>
                <c:pt idx="3">
                  <c:v>0.12748321587069267</c:v>
                </c:pt>
                <c:pt idx="4">
                  <c:v>0.16846452595861439</c:v>
                </c:pt>
                <c:pt idx="5">
                  <c:v>0.20816371921183499</c:v>
                </c:pt>
                <c:pt idx="6">
                  <c:v>0.24627866078206526</c:v>
                </c:pt>
                <c:pt idx="7">
                  <c:v>0.28879747899882091</c:v>
                </c:pt>
                <c:pt idx="8">
                  <c:v>0.32364551477032399</c:v>
                </c:pt>
                <c:pt idx="9">
                  <c:v>0.35603041261650081</c:v>
                </c:pt>
                <c:pt idx="10">
                  <c:v>0.39409061050315558</c:v>
                </c:pt>
                <c:pt idx="11">
                  <c:v>0.4303779565704991</c:v>
                </c:pt>
                <c:pt idx="12">
                  <c:v>0.45500495973244393</c:v>
                </c:pt>
                <c:pt idx="13">
                  <c:v>0.48608928980892008</c:v>
                </c:pt>
                <c:pt idx="14">
                  <c:v>0.50399491668334495</c:v>
                </c:pt>
                <c:pt idx="15">
                  <c:v>0.52863758950053141</c:v>
                </c:pt>
                <c:pt idx="16">
                  <c:v>0.53897140029571544</c:v>
                </c:pt>
                <c:pt idx="17">
                  <c:v>0.54520331306930081</c:v>
                </c:pt>
                <c:pt idx="18">
                  <c:v>0.55823161718357461</c:v>
                </c:pt>
                <c:pt idx="19">
                  <c:v>0.54520330894761049</c:v>
                </c:pt>
                <c:pt idx="20">
                  <c:v>0.53897139208370526</c:v>
                </c:pt>
                <c:pt idx="21">
                  <c:v>0.5286375772606966</c:v>
                </c:pt>
                <c:pt idx="22">
                  <c:v>0.50399490083233012</c:v>
                </c:pt>
                <c:pt idx="23">
                  <c:v>0.48608927022256299</c:v>
                </c:pt>
                <c:pt idx="24">
                  <c:v>0.4550049370327216</c:v>
                </c:pt>
                <c:pt idx="25">
                  <c:v>0.43037793053044698</c:v>
                </c:pt>
                <c:pt idx="26">
                  <c:v>0.39409058192891905</c:v>
                </c:pt>
                <c:pt idx="27">
                  <c:v>0.35603038185183933</c:v>
                </c:pt>
                <c:pt idx="28">
                  <c:v>0.32364548144141525</c:v>
                </c:pt>
                <c:pt idx="29">
                  <c:v>0.28879744335931817</c:v>
                </c:pt>
                <c:pt idx="30">
                  <c:v>0.24627862392231026</c:v>
                </c:pt>
                <c:pt idx="31">
                  <c:v>0.2081636806375835</c:v>
                </c:pt>
                <c:pt idx="32">
                  <c:v>0.16846448596343508</c:v>
                </c:pt>
                <c:pt idx="33">
                  <c:v>0.12748317475897797</c:v>
                </c:pt>
                <c:pt idx="34">
                  <c:v>8.5531639564817477E-2</c:v>
                </c:pt>
                <c:pt idx="35">
                  <c:v>4.2929156912359212E-2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AD-420A-BFEB-3C8A065BB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43616"/>
        <c:axId val="32154368"/>
      </c:scatterChart>
      <c:valAx>
        <c:axId val="32143616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Right</a:t>
                </a:r>
                <a:r>
                  <a:rPr lang="en-US" baseline="0"/>
                  <a:t> Ascension of Ascending Node (Degrees)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154368"/>
        <c:crosses val="autoZero"/>
        <c:crossBetween val="midCat"/>
      </c:valAx>
      <c:valAx>
        <c:axId val="32154368"/>
        <c:scaling>
          <c:orientation val="minMax"/>
          <c:max val="0.6"/>
          <c:min val="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/>
                  <a:t>Orbit Average Direction</a:t>
                </a:r>
                <a:r>
                  <a:rPr lang="en-US" baseline="0"/>
                  <a:t> Cosine</a:t>
                </a:r>
                <a:endParaRPr lang="en-US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2143616"/>
        <c:crosses val="autoZero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r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Solar</a:t>
            </a:r>
            <a:r>
              <a:rPr lang="en-US" baseline="0"/>
              <a:t> Panel Power </a:t>
            </a:r>
            <a:r>
              <a:rPr lang="en-US"/>
              <a:t>(One Orbit)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Lighting!$AI$146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Lighting!$AI$147:$AI$218</c:f>
              <c:numCache>
                <c:formatCode>0.00</c:formatCode>
                <c:ptCount val="72"/>
                <c:pt idx="0">
                  <c:v>4.1943000000642154</c:v>
                </c:pt>
                <c:pt idx="1">
                  <c:v>4.5438966609327425</c:v>
                </c:pt>
                <c:pt idx="2">
                  <c:v>4.8589115438807342</c:v>
                </c:pt>
                <c:pt idx="3">
                  <c:v>5.1369471967791789</c:v>
                </c:pt>
                <c:pt idx="4">
                  <c:v>5.3758876016109411</c:v>
                </c:pt>
                <c:pt idx="5">
                  <c:v>5.5739142786365568</c:v>
                </c:pt>
                <c:pt idx="6">
                  <c:v>5.7295201261153261</c:v>
                </c:pt>
                <c:pt idx="7">
                  <c:v>5.8415208902531646</c:v>
                </c:pt>
                <c:pt idx="8">
                  <c:v>5.9090641780839981</c:v>
                </c:pt>
                <c:pt idx="9">
                  <c:v>5.9316359446912941</c:v>
                </c:pt>
                <c:pt idx="10">
                  <c:v>5.9090644053980848</c:v>
                </c:pt>
                <c:pt idx="11">
                  <c:v>5.8415213431513449</c:v>
                </c:pt>
                <c:pt idx="12">
                  <c:v>5.7295208011507723</c:v>
                </c:pt>
                <c:pt idx="13">
                  <c:v>5.5739151706718433</c:v>
                </c:pt>
                <c:pt idx="14">
                  <c:v>5.3758887038571466</c:v>
                </c:pt>
                <c:pt idx="15">
                  <c:v>5.1369485008475468</c:v>
                </c:pt>
                <c:pt idx="16">
                  <c:v>4.8589130398465246</c:v>
                </c:pt>
                <c:pt idx="17">
                  <c:v>4.5438983374107567</c:v>
                </c:pt>
                <c:pt idx="18">
                  <c:v>4.1943018442958868</c:v>
                </c:pt>
                <c:pt idx="19">
                  <c:v>4.5438949843325807</c:v>
                </c:pt>
                <c:pt idx="20">
                  <c:v>4.8589100478016878</c:v>
                </c:pt>
                <c:pt idx="21">
                  <c:v>5.1369458926073071</c:v>
                </c:pt>
                <c:pt idx="22">
                  <c:v>5.3758864992717754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5.3758909084501258</c:v>
                </c:pt>
                <c:pt idx="51">
                  <c:v>5.1369511091038484</c:v>
                </c:pt>
                <c:pt idx="52">
                  <c:v>4.8589160319157561</c:v>
                </c:pt>
                <c:pt idx="53">
                  <c:v>4.5439016905214773</c:v>
                </c:pt>
                <c:pt idx="54">
                  <c:v>4.1943055329289116</c:v>
                </c:pt>
                <c:pt idx="55">
                  <c:v>4.5438916312165594</c:v>
                </c:pt>
                <c:pt idx="56">
                  <c:v>4.8589070557266494</c:v>
                </c:pt>
                <c:pt idx="57">
                  <c:v>5.136943284344734</c:v>
                </c:pt>
                <c:pt idx="58">
                  <c:v>5.3758842946721108</c:v>
                </c:pt>
                <c:pt idx="59">
                  <c:v>5.573911602361127</c:v>
                </c:pt>
                <c:pt idx="60">
                  <c:v>5.7295181008713572</c:v>
                </c:pt>
                <c:pt idx="61">
                  <c:v>5.8415195314539776</c:v>
                </c:pt>
                <c:pt idx="62">
                  <c:v>5.9090634960708686</c:v>
                </c:pt>
                <c:pt idx="63">
                  <c:v>5.9316359446547553</c:v>
                </c:pt>
                <c:pt idx="64">
                  <c:v>5.9090650873384121</c:v>
                </c:pt>
                <c:pt idx="65">
                  <c:v>5.8415227018785636</c:v>
                </c:pt>
                <c:pt idx="66">
                  <c:v>5.7295228263241533</c:v>
                </c:pt>
                <c:pt idx="67">
                  <c:v>5.5739178468786035</c:v>
                </c:pt>
                <c:pt idx="68">
                  <c:v>5.3758920107297472</c:v>
                </c:pt>
                <c:pt idx="69">
                  <c:v>5.1369524132187054</c:v>
                </c:pt>
                <c:pt idx="70">
                  <c:v>4.8589175279407515</c:v>
                </c:pt>
                <c:pt idx="71">
                  <c:v>4.5439033670709632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19-4B28-8E98-8913415A7B89}"/>
            </c:ext>
          </c:extLst>
        </c:ser>
        <c:ser>
          <c:idx val="4"/>
          <c:order val="1"/>
          <c:tx>
            <c:strRef>
              <c:f>Lighting!$AO$146</c:f>
              <c:strCache>
                <c:ptCount val="1"/>
                <c:pt idx="0">
                  <c:v>Nadir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square"/>
            <c:size val="5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Lighting!$AO$147:$AO$218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0.36555539245608065</c:v>
                </c:pt>
                <c:pt idx="20">
                  <c:v>0.72833053350010202</c:v>
                </c:pt>
                <c:pt idx="21">
                  <c:v>1.0855626425075906</c:v>
                </c:pt>
                <c:pt idx="22">
                  <c:v>1.434532968947533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1.4345399012733697</c:v>
                </c:pt>
                <c:pt idx="51">
                  <c:v>1.0855697683619288</c:v>
                </c:pt>
                <c:pt idx="52">
                  <c:v>0.72833779865091741</c:v>
                </c:pt>
                <c:pt idx="53">
                  <c:v>0.36556274161121949</c:v>
                </c:pt>
                <c:pt idx="54">
                  <c:v>5.5329316941621882E-6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19-4B28-8E98-8913415A7B89}"/>
            </c:ext>
          </c:extLst>
        </c:ser>
        <c:ser>
          <c:idx val="5"/>
          <c:order val="2"/>
          <c:tx>
            <c:strRef>
              <c:f>Lighting!$AP$146</c:f>
              <c:strCache>
                <c:ptCount val="1"/>
                <c:pt idx="0">
                  <c:v>Away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Lighting!$AP$147:$AP$218</c:f>
              <c:numCache>
                <c:formatCode>General</c:formatCode>
                <c:ptCount val="72"/>
                <c:pt idx="0">
                  <c:v>4.1943000000000001</c:v>
                </c:pt>
                <c:pt idx="1">
                  <c:v>4.1783394311345017</c:v>
                </c:pt>
                <c:pt idx="2">
                  <c:v>4.1305791940400942</c:v>
                </c:pt>
                <c:pt idx="3">
                  <c:v>4.0513827727561118</c:v>
                </c:pt>
                <c:pt idx="4">
                  <c:v>3.9413528995313962</c:v>
                </c:pt>
                <c:pt idx="5">
                  <c:v>3.8013269676705073</c:v>
                </c:pt>
                <c:pt idx="6">
                  <c:v>3.6323706584686111</c:v>
                </c:pt>
                <c:pt idx="7">
                  <c:v>3.4357698307378897</c:v>
                </c:pt>
                <c:pt idx="8">
                  <c:v>3.213020734651026</c:v>
                </c:pt>
                <c:pt idx="9">
                  <c:v>2.9658186243803031</c:v>
                </c:pt>
                <c:pt idx="10">
                  <c:v>2.696044856196953</c:v>
                </c:pt>
                <c:pt idx="11">
                  <c:v>2.4057525702219436</c:v>
                </c:pt>
                <c:pt idx="12">
                  <c:v>2.0971510647986897</c:v>
                </c:pt>
                <c:pt idx="13">
                  <c:v>1.7725889824080459</c:v>
                </c:pt>
                <c:pt idx="14">
                  <c:v>1.4345364350908874</c:v>
                </c:pt>
                <c:pt idx="15">
                  <c:v>1.0855662054144992</c:v>
                </c:pt>
                <c:pt idx="16">
                  <c:v>0.7283341660547068</c:v>
                </c:pt>
                <c:pt idx="17">
                  <c:v>0.36555906701246299</c:v>
                </c:pt>
                <c:pt idx="18">
                  <c:v>1.8442962914562522E-6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0.36555171785675872</c:v>
                </c:pt>
                <c:pt idx="56">
                  <c:v>0.72832690090276486</c:v>
                </c:pt>
                <c:pt idx="57">
                  <c:v>1.085559079558482</c:v>
                </c:pt>
                <c:pt idx="58">
                  <c:v>1.4345295027628315</c:v>
                </c:pt>
                <c:pt idx="59">
                  <c:v>1.7725822963671243</c:v>
                </c:pt>
                <c:pt idx="60">
                  <c:v>2.0971446759296821</c:v>
                </c:pt>
                <c:pt idx="61">
                  <c:v>2.4057465271479739</c:v>
                </c:pt>
                <c:pt idx="62">
                  <c:v>2.6960392049094355</c:v>
                </c:pt>
                <c:pt idx="63">
                  <c:v>2.965813407888926</c:v>
                </c:pt>
                <c:pt idx="64">
                  <c:v>3.2130159926564161</c:v>
                </c:pt>
                <c:pt idx="65">
                  <c:v>3.4357655993294696</c:v>
                </c:pt>
                <c:pt idx="66">
                  <c:v>3.6323669698499352</c:v>
                </c:pt>
                <c:pt idx="67">
                  <c:v>3.8013238499141746</c:v>
                </c:pt>
                <c:pt idx="68">
                  <c:v>3.9413503763654023</c:v>
                </c:pt>
                <c:pt idx="69">
                  <c:v>4.0513808633832635</c:v>
                </c:pt>
                <c:pt idx="70">
                  <c:v>4.1305779129918632</c:v>
                </c:pt>
                <c:pt idx="71">
                  <c:v>4.178338788160433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19-4B28-8E98-8913415A7B89}"/>
            </c:ext>
          </c:extLst>
        </c:ser>
        <c:ser>
          <c:idx val="6"/>
          <c:order val="3"/>
          <c:tx>
            <c:strRef>
              <c:f>Lighting!$AQ$146</c:f>
              <c:strCache>
                <c:ptCount val="1"/>
                <c:pt idx="0">
                  <c:v>Ram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triang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Lighting!$AQ$147:$AQ$218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3.9413510071690268</c:v>
                </c:pt>
                <c:pt idx="51">
                  <c:v>4.0513813407359613</c:v>
                </c:pt>
                <c:pt idx="52">
                  <c:v>4.1305782332606942</c:v>
                </c:pt>
                <c:pt idx="53">
                  <c:v>4.1783389489079603</c:v>
                </c:pt>
                <c:pt idx="54">
                  <c:v>4.1942999999963506</c:v>
                </c:pt>
                <c:pt idx="55">
                  <c:v>4.1783399133575028</c:v>
                </c:pt>
                <c:pt idx="56">
                  <c:v>4.1305801548197403</c:v>
                </c:pt>
                <c:pt idx="57">
                  <c:v>4.0513842047802937</c:v>
                </c:pt>
                <c:pt idx="58">
                  <c:v>3.9413547919015506</c:v>
                </c:pt>
                <c:pt idx="59">
                  <c:v>3.801329305984563</c:v>
                </c:pt>
                <c:pt idx="60">
                  <c:v>3.6323734249305972</c:v>
                </c:pt>
                <c:pt idx="61">
                  <c:v>3.4357730042933712</c:v>
                </c:pt>
                <c:pt idx="62">
                  <c:v>3.2130242911473426</c:v>
                </c:pt>
                <c:pt idx="63">
                  <c:v>2.9658225367503861</c:v>
                </c:pt>
                <c:pt idx="64">
                  <c:v>2.6960490946653199</c:v>
                </c:pt>
                <c:pt idx="65">
                  <c:v>2.4057571025313105</c:v>
                </c:pt>
                <c:pt idx="66">
                  <c:v>2.0971558564554629</c:v>
                </c:pt>
                <c:pt idx="67">
                  <c:v>1.7725939969448457</c:v>
                </c:pt>
                <c:pt idx="68">
                  <c:v>1.434541634344082</c:v>
                </c:pt>
                <c:pt idx="69">
                  <c:v>1.0855715498146539</c:v>
                </c:pt>
                <c:pt idx="70">
                  <c:v>0.72833961492773247</c:v>
                </c:pt>
                <c:pt idx="71">
                  <c:v>0.36556457888916893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19-4B28-8E98-8913415A7B89}"/>
            </c:ext>
          </c:extLst>
        </c:ser>
        <c:ser>
          <c:idx val="7"/>
          <c:order val="4"/>
          <c:tx>
            <c:strRef>
              <c:f>Lighting!$AR$146</c:f>
              <c:strCache>
                <c:ptCount val="1"/>
                <c:pt idx="0">
                  <c:v>Left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x"/>
            <c:size val="5"/>
            <c:spPr>
              <a:noFill/>
              <a:ln>
                <a:solidFill>
                  <a:srgbClr val="00B0F0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Lighting!$AR$147:$AR$218</c:f>
              <c:numCache>
                <c:formatCode>General</c:formatCode>
                <c:ptCount val="72"/>
                <c:pt idx="0">
                  <c:v>2.140524082274344E-11</c:v>
                </c:pt>
                <c:pt idx="1">
                  <c:v>2.1285984572727164E-11</c:v>
                </c:pt>
                <c:pt idx="2">
                  <c:v>2.1004729118200757E-11</c:v>
                </c:pt>
                <c:pt idx="3">
                  <c:v>2.0563614982942086E-11</c:v>
                </c:pt>
                <c:pt idx="4">
                  <c:v>1.996599931188426E-11</c:v>
                </c:pt>
                <c:pt idx="5">
                  <c:v>1.9216430321215516E-11</c:v>
                </c:pt>
                <c:pt idx="6">
                  <c:v>1.8320612683707094E-11</c:v>
                </c:pt>
                <c:pt idx="7">
                  <c:v>1.7285364112707764E-11</c:v>
                </c:pt>
                <c:pt idx="8">
                  <c:v>1.611856347522691E-11</c:v>
                </c:pt>
                <c:pt idx="9">
                  <c:v>1.4829090828997034E-11</c:v>
                </c:pt>
                <c:pt idx="10">
                  <c:v>1.3426759839869868E-11</c:v>
                </c:pt>
                <c:pt idx="11">
                  <c:v>1.1922243093890442E-11</c:v>
                </c:pt>
                <c:pt idx="12">
                  <c:v>1.0326990872469487E-11</c:v>
                </c:pt>
                <c:pt idx="13">
                  <c:v>8.6531440088240004E-12</c:v>
                </c:pt>
                <c:pt idx="14">
                  <c:v>6.9134414889013168E-12</c:v>
                </c:pt>
                <c:pt idx="15">
                  <c:v>5.1211234999993205E-12</c:v>
                </c:pt>
                <c:pt idx="16">
                  <c:v>3.2898306649414308E-12</c:v>
                </c:pt>
                <c:pt idx="17">
                  <c:v>1.4335002286951933E-12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4.3374186211389511E-13</c:v>
                </c:pt>
                <c:pt idx="55">
                  <c:v>2.2976811079516002E-12</c:v>
                </c:pt>
                <c:pt idx="56">
                  <c:v>4.144133614239384E-12</c:v>
                </c:pt>
                <c:pt idx="57">
                  <c:v>5.9590467616902466E-12</c:v>
                </c:pt>
                <c:pt idx="58">
                  <c:v>7.7286079645799062E-12</c:v>
                </c:pt>
                <c:pt idx="59">
                  <c:v>9.439349792870517E-12</c:v>
                </c:pt>
                <c:pt idx="60">
                  <c:v>1.1078252467491141E-11</c:v>
                </c:pt>
                <c:pt idx="61">
                  <c:v>1.2632842948724E-11</c:v>
                </c:pt>
                <c:pt idx="62">
                  <c:v>1.4091289863573998E-11</c:v>
                </c:pt>
                <c:pt idx="63">
                  <c:v>1.544249354966687E-11</c:v>
                </c:pt>
                <c:pt idx="64">
                  <c:v>1.6676170530387466E-11</c:v>
                </c:pt>
                <c:pt idx="65">
                  <c:v>1.7782931778351337E-11</c:v>
                </c:pt>
                <c:pt idx="66">
                  <c:v>1.8754354171577318E-11</c:v>
                </c:pt>
                <c:pt idx="67">
                  <c:v>1.9583044598536383E-11</c:v>
                </c:pt>
                <c:pt idx="68">
                  <c:v>2.0262696224198731E-11</c:v>
                </c:pt>
                <c:pt idx="69">
                  <c:v>2.0788136488860356E-11</c:v>
                </c:pt>
                <c:pt idx="70">
                  <c:v>2.1155366474449058E-11</c:v>
                </c:pt>
                <c:pt idx="71">
                  <c:v>2.1361591338708568E-11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19-4B28-8E98-8913415A7B89}"/>
            </c:ext>
          </c:extLst>
        </c:ser>
        <c:ser>
          <c:idx val="8"/>
          <c:order val="5"/>
          <c:tx>
            <c:strRef>
              <c:f>Lighting!$AS$146</c:f>
              <c:strCache>
                <c:ptCount val="1"/>
                <c:pt idx="0">
                  <c:v>Tail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Lighting!$AS$147:$AS$218</c:f>
              <c:numCache>
                <c:formatCode>General</c:formatCode>
                <c:ptCount val="72"/>
                <c:pt idx="0">
                  <c:v>4.2810481645495734E-11</c:v>
                </c:pt>
                <c:pt idx="1">
                  <c:v>0.36555722977695476</c:v>
                </c:pt>
                <c:pt idx="2">
                  <c:v>0.72833234981963579</c:v>
                </c:pt>
                <c:pt idx="3">
                  <c:v>1.0855644240025035</c:v>
                </c:pt>
                <c:pt idx="4">
                  <c:v>1.4345347020595793</c:v>
                </c:pt>
                <c:pt idx="5">
                  <c:v>1.7725873109468326</c:v>
                </c:pt>
                <c:pt idx="6">
                  <c:v>2.0971494676283946</c:v>
                </c:pt>
                <c:pt idx="7">
                  <c:v>2.4057510594979892</c:v>
                </c:pt>
                <c:pt idx="8">
                  <c:v>2.696043443416853</c:v>
                </c:pt>
                <c:pt idx="9">
                  <c:v>2.9658173202961615</c:v>
                </c:pt>
                <c:pt idx="10">
                  <c:v>3.2130195491877052</c:v>
                </c:pt>
                <c:pt idx="11">
                  <c:v>3.4357687729174788</c:v>
                </c:pt>
                <c:pt idx="12">
                  <c:v>3.6323697363417558</c:v>
                </c:pt>
                <c:pt idx="13">
                  <c:v>3.8013261882551443</c:v>
                </c:pt>
                <c:pt idx="14">
                  <c:v>3.9413522687593456</c:v>
                </c:pt>
                <c:pt idx="15">
                  <c:v>4.0513822954279268</c:v>
                </c:pt>
                <c:pt idx="16">
                  <c:v>4.1305788737885276</c:v>
                </c:pt>
                <c:pt idx="17">
                  <c:v>4.1783392703968598</c:v>
                </c:pt>
                <c:pt idx="18">
                  <c:v>4.1942999999995951</c:v>
                </c:pt>
                <c:pt idx="19">
                  <c:v>4.1783395918750665</c:v>
                </c:pt>
                <c:pt idx="20">
                  <c:v>4.1305795142982964</c:v>
                </c:pt>
                <c:pt idx="21">
                  <c:v>4.0513832500945952</c:v>
                </c:pt>
                <c:pt idx="22">
                  <c:v>3.9413535303173286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D19-4B28-8E98-8913415A7B89}"/>
            </c:ext>
          </c:extLst>
        </c:ser>
        <c:ser>
          <c:idx val="9"/>
          <c:order val="6"/>
          <c:tx>
            <c:strRef>
              <c:f>Lighting!$AT$146</c:f>
              <c:strCache>
                <c:ptCount val="1"/>
                <c:pt idx="0">
                  <c:v>Right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Lighting!$AT$147:$AT$218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1.4335020382611429E-12</c:v>
                </c:pt>
                <c:pt idx="20">
                  <c:v>3.2898324204516914E-12</c:v>
                </c:pt>
                <c:pt idx="21">
                  <c:v>5.1211251880933975E-12</c:v>
                </c:pt>
                <c:pt idx="22">
                  <c:v>6.9134430967317963E-12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7.728602358735069E-12</c:v>
                </c:pt>
                <c:pt idx="51">
                  <c:v>5.9590411054842004E-12</c:v>
                </c:pt>
                <c:pt idx="52">
                  <c:v>4.1441279507192728E-12</c:v>
                </c:pt>
                <c:pt idx="53">
                  <c:v>2.2976754802202308E-12</c:v>
                </c:pt>
                <c:pt idx="54">
                  <c:v>4.337363130017051E-13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D19-4B28-8E98-8913415A7B89}"/>
            </c:ext>
          </c:extLst>
        </c:ser>
        <c:ser>
          <c:idx val="10"/>
          <c:order val="7"/>
          <c:tx>
            <c:strRef>
              <c:f>Lighting!$AU$146</c:f>
              <c:strCache>
                <c:ptCount val="1"/>
              </c:strCache>
            </c:strRef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dash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Lighting!$AU$147:$AU$218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D19-4B28-8E98-8913415A7B89}"/>
            </c:ext>
          </c:extLst>
        </c:ser>
        <c:ser>
          <c:idx val="11"/>
          <c:order val="8"/>
          <c:tx>
            <c:strRef>
              <c:f>Lighting!$AV$146</c:f>
              <c:strCache>
                <c:ptCount val="1"/>
              </c:strCache>
            </c:strRef>
          </c:tx>
          <c:spPr>
            <a:ln w="19050">
              <a:solidFill>
                <a:srgbClr val="FF00FF"/>
              </a:solidFill>
            </a:ln>
          </c:spPr>
          <c:marker>
            <c:symbol val="plus"/>
            <c:size val="5"/>
            <c:spPr>
              <a:ln>
                <a:solidFill>
                  <a:srgbClr val="FF00FF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Lighting!$AV$147:$AV$218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D19-4B28-8E98-8913415A7B89}"/>
            </c:ext>
          </c:extLst>
        </c:ser>
        <c:ser>
          <c:idx val="12"/>
          <c:order val="9"/>
          <c:tx>
            <c:strRef>
              <c:f>Lighting!$AW$146</c:f>
              <c:strCache>
                <c:ptCount val="1"/>
              </c:strCache>
            </c:strRef>
          </c:tx>
          <c:spPr>
            <a:ln w="19050">
              <a:solidFill>
                <a:srgbClr val="CC6600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Lighting!$AW$147:$AW$218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D19-4B28-8E98-8913415A7B89}"/>
            </c:ext>
          </c:extLst>
        </c:ser>
        <c:ser>
          <c:idx val="0"/>
          <c:order val="10"/>
          <c:tx>
            <c:strRef>
              <c:f>Lighting!$AX$146</c:f>
              <c:strCache>
                <c:ptCount val="1"/>
              </c:strCache>
            </c:strRef>
          </c:tx>
          <c:spPr>
            <a:ln w="19050"/>
          </c:spP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Lighting!$AX$147:$AX$218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D19-4B28-8E98-8913415A7B89}"/>
            </c:ext>
          </c:extLst>
        </c:ser>
        <c:ser>
          <c:idx val="1"/>
          <c:order val="11"/>
          <c:tx>
            <c:strRef>
              <c:f>Lighting!$AY$146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Lighting!$AY$147:$AY$218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D19-4B28-8E98-8913415A7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4976"/>
        <c:axId val="32261248"/>
      </c:scatterChart>
      <c:valAx>
        <c:axId val="32254976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True Anomaly (Degrees)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261248"/>
        <c:crosses val="autoZero"/>
        <c:crossBetween val="midCat"/>
      </c:valAx>
      <c:valAx>
        <c:axId val="3226124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/>
                  <a:t>Power (Watts)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2254976"/>
        <c:crosses val="autoZero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r"/>
      <c:layout>
        <c:manualLayout>
          <c:xMode val="edge"/>
          <c:yMode val="edge"/>
          <c:x val="0.829151666722026"/>
          <c:y val="0.14581561272954299"/>
          <c:w val="0.14652020703619101"/>
          <c:h val="0.51836707740144095"/>
        </c:manualLayout>
      </c:layout>
      <c:overlay val="0"/>
      <c:spPr>
        <a:solidFill>
          <a:sysClr val="window" lastClr="FFFFFF">
            <a:lumMod val="7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Solar</a:t>
            </a:r>
            <a:r>
              <a:rPr lang="en-US" baseline="0"/>
              <a:t> Panel Power </a:t>
            </a:r>
            <a:r>
              <a:rPr lang="en-US"/>
              <a:t>(One Orbit)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Lighting!$AI$146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Lighting!$AI$147:$AI$218</c:f>
              <c:numCache>
                <c:formatCode>0.00</c:formatCode>
                <c:ptCount val="72"/>
                <c:pt idx="0">
                  <c:v>4.1943000000642154</c:v>
                </c:pt>
                <c:pt idx="1">
                  <c:v>4.5438966609327425</c:v>
                </c:pt>
                <c:pt idx="2">
                  <c:v>4.8589115438807342</c:v>
                </c:pt>
                <c:pt idx="3">
                  <c:v>5.1369471967791789</c:v>
                </c:pt>
                <c:pt idx="4">
                  <c:v>5.3758876016109411</c:v>
                </c:pt>
                <c:pt idx="5">
                  <c:v>5.5739142786365568</c:v>
                </c:pt>
                <c:pt idx="6">
                  <c:v>5.7295201261153261</c:v>
                </c:pt>
                <c:pt idx="7">
                  <c:v>5.8415208902531646</c:v>
                </c:pt>
                <c:pt idx="8">
                  <c:v>5.9090641780839981</c:v>
                </c:pt>
                <c:pt idx="9">
                  <c:v>5.9316359446912941</c:v>
                </c:pt>
                <c:pt idx="10">
                  <c:v>5.9090644053980848</c:v>
                </c:pt>
                <c:pt idx="11">
                  <c:v>5.8415213431513449</c:v>
                </c:pt>
                <c:pt idx="12">
                  <c:v>5.7295208011507723</c:v>
                </c:pt>
                <c:pt idx="13">
                  <c:v>5.5739151706718433</c:v>
                </c:pt>
                <c:pt idx="14">
                  <c:v>5.3758887038571466</c:v>
                </c:pt>
                <c:pt idx="15">
                  <c:v>5.1369485008475468</c:v>
                </c:pt>
                <c:pt idx="16">
                  <c:v>4.8589130398465246</c:v>
                </c:pt>
                <c:pt idx="17">
                  <c:v>4.5438983374107567</c:v>
                </c:pt>
                <c:pt idx="18">
                  <c:v>4.1943018442958868</c:v>
                </c:pt>
                <c:pt idx="19">
                  <c:v>4.5438949843325807</c:v>
                </c:pt>
                <c:pt idx="20">
                  <c:v>4.8589100478016878</c:v>
                </c:pt>
                <c:pt idx="21">
                  <c:v>5.1369458926073071</c:v>
                </c:pt>
                <c:pt idx="22">
                  <c:v>5.3758864992717754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5.3758909084501258</c:v>
                </c:pt>
                <c:pt idx="51">
                  <c:v>5.1369511091038484</c:v>
                </c:pt>
                <c:pt idx="52">
                  <c:v>4.8589160319157561</c:v>
                </c:pt>
                <c:pt idx="53">
                  <c:v>4.5439016905214773</c:v>
                </c:pt>
                <c:pt idx="54">
                  <c:v>4.1943055329289116</c:v>
                </c:pt>
                <c:pt idx="55">
                  <c:v>4.5438916312165594</c:v>
                </c:pt>
                <c:pt idx="56">
                  <c:v>4.8589070557266494</c:v>
                </c:pt>
                <c:pt idx="57">
                  <c:v>5.136943284344734</c:v>
                </c:pt>
                <c:pt idx="58">
                  <c:v>5.3758842946721108</c:v>
                </c:pt>
                <c:pt idx="59">
                  <c:v>5.573911602361127</c:v>
                </c:pt>
                <c:pt idx="60">
                  <c:v>5.7295181008713572</c:v>
                </c:pt>
                <c:pt idx="61">
                  <c:v>5.8415195314539776</c:v>
                </c:pt>
                <c:pt idx="62">
                  <c:v>5.9090634960708686</c:v>
                </c:pt>
                <c:pt idx="63">
                  <c:v>5.9316359446547553</c:v>
                </c:pt>
                <c:pt idx="64">
                  <c:v>5.9090650873384121</c:v>
                </c:pt>
                <c:pt idx="65">
                  <c:v>5.8415227018785636</c:v>
                </c:pt>
                <c:pt idx="66">
                  <c:v>5.7295228263241533</c:v>
                </c:pt>
                <c:pt idx="67">
                  <c:v>5.5739178468786035</c:v>
                </c:pt>
                <c:pt idx="68">
                  <c:v>5.3758920107297472</c:v>
                </c:pt>
                <c:pt idx="69">
                  <c:v>5.1369524132187054</c:v>
                </c:pt>
                <c:pt idx="70">
                  <c:v>4.8589175279407515</c:v>
                </c:pt>
                <c:pt idx="71">
                  <c:v>4.5439033670709632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19-42C6-9425-9DECAF592A1C}"/>
            </c:ext>
          </c:extLst>
        </c:ser>
        <c:ser>
          <c:idx val="3"/>
          <c:order val="1"/>
          <c:tx>
            <c:strRef>
              <c:f>Lighting!$AH$146</c:f>
              <c:strCache>
                <c:ptCount val="1"/>
                <c:pt idx="0">
                  <c:v>Average</c:v>
                </c:pt>
              </c:strCache>
            </c:strRef>
          </c:tx>
          <c:spPr>
            <a:ln>
              <a:solidFill>
                <a:srgbClr val="FFFF00"/>
              </a:solidFill>
              <a:prstDash val="sysDot"/>
            </a:ln>
          </c:spPr>
          <c:marker>
            <c:symbol val="none"/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Lighting!$AH$147:$AH$218</c:f>
              <c:numCache>
                <c:formatCode>0.00</c:formatCode>
                <c:ptCount val="72"/>
                <c:pt idx="0">
                  <c:v>3.2799464164911605</c:v>
                </c:pt>
                <c:pt idx="1">
                  <c:v>3.2799464164911605</c:v>
                </c:pt>
                <c:pt idx="2">
                  <c:v>3.2799464164911605</c:v>
                </c:pt>
                <c:pt idx="3">
                  <c:v>3.2799464164911605</c:v>
                </c:pt>
                <c:pt idx="4">
                  <c:v>3.2799464164911605</c:v>
                </c:pt>
                <c:pt idx="5">
                  <c:v>3.2799464164911605</c:v>
                </c:pt>
                <c:pt idx="6">
                  <c:v>3.2799464164911605</c:v>
                </c:pt>
                <c:pt idx="7">
                  <c:v>3.2799464164911605</c:v>
                </c:pt>
                <c:pt idx="8">
                  <c:v>3.2799464164911605</c:v>
                </c:pt>
                <c:pt idx="9">
                  <c:v>3.2799464164911605</c:v>
                </c:pt>
                <c:pt idx="10">
                  <c:v>3.2799464164911605</c:v>
                </c:pt>
                <c:pt idx="11">
                  <c:v>3.2799464164911605</c:v>
                </c:pt>
                <c:pt idx="12">
                  <c:v>3.2799464164911605</c:v>
                </c:pt>
                <c:pt idx="13">
                  <c:v>3.2799464164911605</c:v>
                </c:pt>
                <c:pt idx="14">
                  <c:v>3.2799464164911605</c:v>
                </c:pt>
                <c:pt idx="15">
                  <c:v>3.2799464164911605</c:v>
                </c:pt>
                <c:pt idx="16">
                  <c:v>3.2799464164911605</c:v>
                </c:pt>
                <c:pt idx="17">
                  <c:v>3.2799464164911605</c:v>
                </c:pt>
                <c:pt idx="18">
                  <c:v>3.2799464164911605</c:v>
                </c:pt>
                <c:pt idx="19">
                  <c:v>3.2799464164911605</c:v>
                </c:pt>
                <c:pt idx="20">
                  <c:v>3.2799464164911605</c:v>
                </c:pt>
                <c:pt idx="21">
                  <c:v>3.2799464164911605</c:v>
                </c:pt>
                <c:pt idx="22">
                  <c:v>3.2799464164911605</c:v>
                </c:pt>
                <c:pt idx="23">
                  <c:v>3.2799464164911605</c:v>
                </c:pt>
                <c:pt idx="24">
                  <c:v>3.2799464164911605</c:v>
                </c:pt>
                <c:pt idx="25">
                  <c:v>3.2799464164911605</c:v>
                </c:pt>
                <c:pt idx="26">
                  <c:v>3.2799464164911605</c:v>
                </c:pt>
                <c:pt idx="27">
                  <c:v>3.2799464164911605</c:v>
                </c:pt>
                <c:pt idx="28">
                  <c:v>3.2799464164911605</c:v>
                </c:pt>
                <c:pt idx="29">
                  <c:v>3.2799464164911605</c:v>
                </c:pt>
                <c:pt idx="30">
                  <c:v>3.2799464164911605</c:v>
                </c:pt>
                <c:pt idx="31">
                  <c:v>3.2799464164911605</c:v>
                </c:pt>
                <c:pt idx="32">
                  <c:v>3.2799464164911605</c:v>
                </c:pt>
                <c:pt idx="33">
                  <c:v>3.2799464164911605</c:v>
                </c:pt>
                <c:pt idx="34">
                  <c:v>3.2799464164911605</c:v>
                </c:pt>
                <c:pt idx="35">
                  <c:v>3.2799464164911605</c:v>
                </c:pt>
                <c:pt idx="36">
                  <c:v>3.2799464164911605</c:v>
                </c:pt>
                <c:pt idx="37">
                  <c:v>3.2799464164911605</c:v>
                </c:pt>
                <c:pt idx="38">
                  <c:v>3.2799464164911605</c:v>
                </c:pt>
                <c:pt idx="39">
                  <c:v>3.2799464164911605</c:v>
                </c:pt>
                <c:pt idx="40">
                  <c:v>3.2799464164911605</c:v>
                </c:pt>
                <c:pt idx="41">
                  <c:v>3.2799464164911605</c:v>
                </c:pt>
                <c:pt idx="42">
                  <c:v>3.2799464164911605</c:v>
                </c:pt>
                <c:pt idx="43">
                  <c:v>3.2799464164911605</c:v>
                </c:pt>
                <c:pt idx="44">
                  <c:v>3.2799464164911605</c:v>
                </c:pt>
                <c:pt idx="45">
                  <c:v>3.2799464164911605</c:v>
                </c:pt>
                <c:pt idx="46">
                  <c:v>3.2799464164911605</c:v>
                </c:pt>
                <c:pt idx="47">
                  <c:v>3.2799464164911605</c:v>
                </c:pt>
                <c:pt idx="48">
                  <c:v>3.2799464164911605</c:v>
                </c:pt>
                <c:pt idx="49">
                  <c:v>3.2799464164911605</c:v>
                </c:pt>
                <c:pt idx="50">
                  <c:v>3.2799464164911605</c:v>
                </c:pt>
                <c:pt idx="51">
                  <c:v>3.2799464164911605</c:v>
                </c:pt>
                <c:pt idx="52">
                  <c:v>3.2799464164911605</c:v>
                </c:pt>
                <c:pt idx="53">
                  <c:v>3.2799464164911605</c:v>
                </c:pt>
                <c:pt idx="54">
                  <c:v>3.2799464164911605</c:v>
                </c:pt>
                <c:pt idx="55">
                  <c:v>3.2799464164911605</c:v>
                </c:pt>
                <c:pt idx="56">
                  <c:v>3.2799464164911605</c:v>
                </c:pt>
                <c:pt idx="57">
                  <c:v>3.2799464164911605</c:v>
                </c:pt>
                <c:pt idx="58">
                  <c:v>3.2799464164911605</c:v>
                </c:pt>
                <c:pt idx="59">
                  <c:v>3.2799464164911605</c:v>
                </c:pt>
                <c:pt idx="60">
                  <c:v>3.2799464164911605</c:v>
                </c:pt>
                <c:pt idx="61">
                  <c:v>3.2799464164911605</c:v>
                </c:pt>
                <c:pt idx="62">
                  <c:v>3.2799464164911605</c:v>
                </c:pt>
                <c:pt idx="63">
                  <c:v>3.2799464164911605</c:v>
                </c:pt>
                <c:pt idx="64">
                  <c:v>3.2799464164911605</c:v>
                </c:pt>
                <c:pt idx="65">
                  <c:v>3.2799464164911605</c:v>
                </c:pt>
                <c:pt idx="66">
                  <c:v>3.2799464164911605</c:v>
                </c:pt>
                <c:pt idx="67">
                  <c:v>3.2799464164911605</c:v>
                </c:pt>
                <c:pt idx="68">
                  <c:v>3.2799464164911605</c:v>
                </c:pt>
                <c:pt idx="69">
                  <c:v>3.2799464164911605</c:v>
                </c:pt>
                <c:pt idx="70">
                  <c:v>3.2799464164911605</c:v>
                </c:pt>
                <c:pt idx="71">
                  <c:v>3.2799464164911605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19-42C6-9425-9DECAF592A1C}"/>
            </c:ext>
          </c:extLst>
        </c:ser>
        <c:ser>
          <c:idx val="4"/>
          <c:order val="2"/>
          <c:tx>
            <c:strRef>
              <c:f>Lighting!$AO$146</c:f>
              <c:strCache>
                <c:ptCount val="1"/>
                <c:pt idx="0">
                  <c:v>Nadir</c:v>
                </c:pt>
              </c:strCache>
            </c:strRef>
          </c:tx>
          <c:spPr>
            <a:ln w="28575">
              <a:solidFill>
                <a:schemeClr val="accent6">
                  <a:lumMod val="50000"/>
                </a:schemeClr>
              </a:solidFill>
            </a:ln>
          </c:spPr>
          <c:marker>
            <c:symbol val="square"/>
            <c:size val="5"/>
            <c:spPr>
              <a:solidFill>
                <a:schemeClr val="accent6">
                  <a:lumMod val="50000"/>
                </a:schemeClr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Lighting!$AO$147:$AO$218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0.36555539245608065</c:v>
                </c:pt>
                <c:pt idx="20">
                  <c:v>0.72833053350010202</c:v>
                </c:pt>
                <c:pt idx="21">
                  <c:v>1.0855626425075906</c:v>
                </c:pt>
                <c:pt idx="22">
                  <c:v>1.434532968947533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1.4345399012733697</c:v>
                </c:pt>
                <c:pt idx="51">
                  <c:v>1.0855697683619288</c:v>
                </c:pt>
                <c:pt idx="52">
                  <c:v>0.72833779865091741</c:v>
                </c:pt>
                <c:pt idx="53">
                  <c:v>0.36556274161121949</c:v>
                </c:pt>
                <c:pt idx="54">
                  <c:v>5.5329316941621882E-6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19-42C6-9425-9DECAF592A1C}"/>
            </c:ext>
          </c:extLst>
        </c:ser>
        <c:ser>
          <c:idx val="5"/>
          <c:order val="3"/>
          <c:tx>
            <c:strRef>
              <c:f>Lighting!$AP$146</c:f>
              <c:strCache>
                <c:ptCount val="1"/>
                <c:pt idx="0">
                  <c:v>Away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Lighting!$AP$147:$AP$218</c:f>
              <c:numCache>
                <c:formatCode>General</c:formatCode>
                <c:ptCount val="72"/>
                <c:pt idx="0">
                  <c:v>4.1943000000000001</c:v>
                </c:pt>
                <c:pt idx="1">
                  <c:v>4.1783394311345017</c:v>
                </c:pt>
                <c:pt idx="2">
                  <c:v>4.1305791940400942</c:v>
                </c:pt>
                <c:pt idx="3">
                  <c:v>4.0513827727561118</c:v>
                </c:pt>
                <c:pt idx="4">
                  <c:v>3.9413528995313962</c:v>
                </c:pt>
                <c:pt idx="5">
                  <c:v>3.8013269676705073</c:v>
                </c:pt>
                <c:pt idx="6">
                  <c:v>3.6323706584686111</c:v>
                </c:pt>
                <c:pt idx="7">
                  <c:v>3.4357698307378897</c:v>
                </c:pt>
                <c:pt idx="8">
                  <c:v>3.213020734651026</c:v>
                </c:pt>
                <c:pt idx="9">
                  <c:v>2.9658186243803031</c:v>
                </c:pt>
                <c:pt idx="10">
                  <c:v>2.696044856196953</c:v>
                </c:pt>
                <c:pt idx="11">
                  <c:v>2.4057525702219436</c:v>
                </c:pt>
                <c:pt idx="12">
                  <c:v>2.0971510647986897</c:v>
                </c:pt>
                <c:pt idx="13">
                  <c:v>1.7725889824080459</c:v>
                </c:pt>
                <c:pt idx="14">
                  <c:v>1.4345364350908874</c:v>
                </c:pt>
                <c:pt idx="15">
                  <c:v>1.0855662054144992</c:v>
                </c:pt>
                <c:pt idx="16">
                  <c:v>0.7283341660547068</c:v>
                </c:pt>
                <c:pt idx="17">
                  <c:v>0.36555906701246299</c:v>
                </c:pt>
                <c:pt idx="18">
                  <c:v>1.8442962914562522E-6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0.36555171785675872</c:v>
                </c:pt>
                <c:pt idx="56">
                  <c:v>0.72832690090276486</c:v>
                </c:pt>
                <c:pt idx="57">
                  <c:v>1.085559079558482</c:v>
                </c:pt>
                <c:pt idx="58">
                  <c:v>1.4345295027628315</c:v>
                </c:pt>
                <c:pt idx="59">
                  <c:v>1.7725822963671243</c:v>
                </c:pt>
                <c:pt idx="60">
                  <c:v>2.0971446759296821</c:v>
                </c:pt>
                <c:pt idx="61">
                  <c:v>2.4057465271479739</c:v>
                </c:pt>
                <c:pt idx="62">
                  <c:v>2.6960392049094355</c:v>
                </c:pt>
                <c:pt idx="63">
                  <c:v>2.965813407888926</c:v>
                </c:pt>
                <c:pt idx="64">
                  <c:v>3.2130159926564161</c:v>
                </c:pt>
                <c:pt idx="65">
                  <c:v>3.4357655993294696</c:v>
                </c:pt>
                <c:pt idx="66">
                  <c:v>3.6323669698499352</c:v>
                </c:pt>
                <c:pt idx="67">
                  <c:v>3.8013238499141746</c:v>
                </c:pt>
                <c:pt idx="68">
                  <c:v>3.9413503763654023</c:v>
                </c:pt>
                <c:pt idx="69">
                  <c:v>4.0513808633832635</c:v>
                </c:pt>
                <c:pt idx="70">
                  <c:v>4.1305779129918632</c:v>
                </c:pt>
                <c:pt idx="71">
                  <c:v>4.178338788160433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19-42C6-9425-9DECAF592A1C}"/>
            </c:ext>
          </c:extLst>
        </c:ser>
        <c:ser>
          <c:idx val="6"/>
          <c:order val="4"/>
          <c:tx>
            <c:strRef>
              <c:f>Lighting!$AQ$146</c:f>
              <c:strCache>
                <c:ptCount val="1"/>
                <c:pt idx="0">
                  <c:v>Ram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triangle"/>
            <c:size val="5"/>
            <c:spPr>
              <a:solidFill>
                <a:srgbClr val="FFC00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Lighting!$AQ$147:$AQ$218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3.9413510071690268</c:v>
                </c:pt>
                <c:pt idx="51">
                  <c:v>4.0513813407359613</c:v>
                </c:pt>
                <c:pt idx="52">
                  <c:v>4.1305782332606942</c:v>
                </c:pt>
                <c:pt idx="53">
                  <c:v>4.1783389489079603</c:v>
                </c:pt>
                <c:pt idx="54">
                  <c:v>4.1942999999963506</c:v>
                </c:pt>
                <c:pt idx="55">
                  <c:v>4.1783399133575028</c:v>
                </c:pt>
                <c:pt idx="56">
                  <c:v>4.1305801548197403</c:v>
                </c:pt>
                <c:pt idx="57">
                  <c:v>4.0513842047802937</c:v>
                </c:pt>
                <c:pt idx="58">
                  <c:v>3.9413547919015506</c:v>
                </c:pt>
                <c:pt idx="59">
                  <c:v>3.801329305984563</c:v>
                </c:pt>
                <c:pt idx="60">
                  <c:v>3.6323734249305972</c:v>
                </c:pt>
                <c:pt idx="61">
                  <c:v>3.4357730042933712</c:v>
                </c:pt>
                <c:pt idx="62">
                  <c:v>3.2130242911473426</c:v>
                </c:pt>
                <c:pt idx="63">
                  <c:v>2.9658225367503861</c:v>
                </c:pt>
                <c:pt idx="64">
                  <c:v>2.6960490946653199</c:v>
                </c:pt>
                <c:pt idx="65">
                  <c:v>2.4057571025313105</c:v>
                </c:pt>
                <c:pt idx="66">
                  <c:v>2.0971558564554629</c:v>
                </c:pt>
                <c:pt idx="67">
                  <c:v>1.7725939969448457</c:v>
                </c:pt>
                <c:pt idx="68">
                  <c:v>1.434541634344082</c:v>
                </c:pt>
                <c:pt idx="69">
                  <c:v>1.0855715498146539</c:v>
                </c:pt>
                <c:pt idx="70">
                  <c:v>0.72833961492773247</c:v>
                </c:pt>
                <c:pt idx="71">
                  <c:v>0.36556457888916893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619-42C6-9425-9DECAF592A1C}"/>
            </c:ext>
          </c:extLst>
        </c:ser>
        <c:ser>
          <c:idx val="7"/>
          <c:order val="5"/>
          <c:tx>
            <c:strRef>
              <c:f>Lighting!$AR$146</c:f>
              <c:strCache>
                <c:ptCount val="1"/>
                <c:pt idx="0">
                  <c:v>Left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x"/>
            <c:size val="5"/>
            <c:spPr>
              <a:noFill/>
              <a:ln>
                <a:solidFill>
                  <a:srgbClr val="00B0F0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Lighting!$AR$147:$AR$218</c:f>
              <c:numCache>
                <c:formatCode>General</c:formatCode>
                <c:ptCount val="72"/>
                <c:pt idx="0">
                  <c:v>2.140524082274344E-11</c:v>
                </c:pt>
                <c:pt idx="1">
                  <c:v>2.1285984572727164E-11</c:v>
                </c:pt>
                <c:pt idx="2">
                  <c:v>2.1004729118200757E-11</c:v>
                </c:pt>
                <c:pt idx="3">
                  <c:v>2.0563614982942086E-11</c:v>
                </c:pt>
                <c:pt idx="4">
                  <c:v>1.996599931188426E-11</c:v>
                </c:pt>
                <c:pt idx="5">
                  <c:v>1.9216430321215516E-11</c:v>
                </c:pt>
                <c:pt idx="6">
                  <c:v>1.8320612683707094E-11</c:v>
                </c:pt>
                <c:pt idx="7">
                  <c:v>1.7285364112707764E-11</c:v>
                </c:pt>
                <c:pt idx="8">
                  <c:v>1.611856347522691E-11</c:v>
                </c:pt>
                <c:pt idx="9">
                  <c:v>1.4829090828997034E-11</c:v>
                </c:pt>
                <c:pt idx="10">
                  <c:v>1.3426759839869868E-11</c:v>
                </c:pt>
                <c:pt idx="11">
                  <c:v>1.1922243093890442E-11</c:v>
                </c:pt>
                <c:pt idx="12">
                  <c:v>1.0326990872469487E-11</c:v>
                </c:pt>
                <c:pt idx="13">
                  <c:v>8.6531440088240004E-12</c:v>
                </c:pt>
                <c:pt idx="14">
                  <c:v>6.9134414889013168E-12</c:v>
                </c:pt>
                <c:pt idx="15">
                  <c:v>5.1211234999993205E-12</c:v>
                </c:pt>
                <c:pt idx="16">
                  <c:v>3.2898306649414308E-12</c:v>
                </c:pt>
                <c:pt idx="17">
                  <c:v>1.4335002286951933E-12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4.3374186211389511E-13</c:v>
                </c:pt>
                <c:pt idx="55">
                  <c:v>2.2976811079516002E-12</c:v>
                </c:pt>
                <c:pt idx="56">
                  <c:v>4.144133614239384E-12</c:v>
                </c:pt>
                <c:pt idx="57">
                  <c:v>5.9590467616902466E-12</c:v>
                </c:pt>
                <c:pt idx="58">
                  <c:v>7.7286079645799062E-12</c:v>
                </c:pt>
                <c:pt idx="59">
                  <c:v>9.439349792870517E-12</c:v>
                </c:pt>
                <c:pt idx="60">
                  <c:v>1.1078252467491141E-11</c:v>
                </c:pt>
                <c:pt idx="61">
                  <c:v>1.2632842948724E-11</c:v>
                </c:pt>
                <c:pt idx="62">
                  <c:v>1.4091289863573998E-11</c:v>
                </c:pt>
                <c:pt idx="63">
                  <c:v>1.544249354966687E-11</c:v>
                </c:pt>
                <c:pt idx="64">
                  <c:v>1.6676170530387466E-11</c:v>
                </c:pt>
                <c:pt idx="65">
                  <c:v>1.7782931778351337E-11</c:v>
                </c:pt>
                <c:pt idx="66">
                  <c:v>1.8754354171577318E-11</c:v>
                </c:pt>
                <c:pt idx="67">
                  <c:v>1.9583044598536383E-11</c:v>
                </c:pt>
                <c:pt idx="68">
                  <c:v>2.0262696224198731E-11</c:v>
                </c:pt>
                <c:pt idx="69">
                  <c:v>2.0788136488860356E-11</c:v>
                </c:pt>
                <c:pt idx="70">
                  <c:v>2.1155366474449058E-11</c:v>
                </c:pt>
                <c:pt idx="71">
                  <c:v>2.1361591338708568E-11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19-42C6-9425-9DECAF592A1C}"/>
            </c:ext>
          </c:extLst>
        </c:ser>
        <c:ser>
          <c:idx val="8"/>
          <c:order val="6"/>
          <c:tx>
            <c:strRef>
              <c:f>Lighting!$AS$146</c:f>
              <c:strCache>
                <c:ptCount val="1"/>
                <c:pt idx="0">
                  <c:v>Tail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Lighting!$AS$147:$AS$218</c:f>
              <c:numCache>
                <c:formatCode>General</c:formatCode>
                <c:ptCount val="72"/>
                <c:pt idx="0">
                  <c:v>4.2810481645495734E-11</c:v>
                </c:pt>
                <c:pt idx="1">
                  <c:v>0.36555722977695476</c:v>
                </c:pt>
                <c:pt idx="2">
                  <c:v>0.72833234981963579</c:v>
                </c:pt>
                <c:pt idx="3">
                  <c:v>1.0855644240025035</c:v>
                </c:pt>
                <c:pt idx="4">
                  <c:v>1.4345347020595793</c:v>
                </c:pt>
                <c:pt idx="5">
                  <c:v>1.7725873109468326</c:v>
                </c:pt>
                <c:pt idx="6">
                  <c:v>2.0971494676283946</c:v>
                </c:pt>
                <c:pt idx="7">
                  <c:v>2.4057510594979892</c:v>
                </c:pt>
                <c:pt idx="8">
                  <c:v>2.696043443416853</c:v>
                </c:pt>
                <c:pt idx="9">
                  <c:v>2.9658173202961615</c:v>
                </c:pt>
                <c:pt idx="10">
                  <c:v>3.2130195491877052</c:v>
                </c:pt>
                <c:pt idx="11">
                  <c:v>3.4357687729174788</c:v>
                </c:pt>
                <c:pt idx="12">
                  <c:v>3.6323697363417558</c:v>
                </c:pt>
                <c:pt idx="13">
                  <c:v>3.8013261882551443</c:v>
                </c:pt>
                <c:pt idx="14">
                  <c:v>3.9413522687593456</c:v>
                </c:pt>
                <c:pt idx="15">
                  <c:v>4.0513822954279268</c:v>
                </c:pt>
                <c:pt idx="16">
                  <c:v>4.1305788737885276</c:v>
                </c:pt>
                <c:pt idx="17">
                  <c:v>4.1783392703968598</c:v>
                </c:pt>
                <c:pt idx="18">
                  <c:v>4.1942999999995951</c:v>
                </c:pt>
                <c:pt idx="19">
                  <c:v>4.1783395918750665</c:v>
                </c:pt>
                <c:pt idx="20">
                  <c:v>4.1305795142982964</c:v>
                </c:pt>
                <c:pt idx="21">
                  <c:v>4.0513832500945952</c:v>
                </c:pt>
                <c:pt idx="22">
                  <c:v>3.9413535303173286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619-42C6-9425-9DECAF592A1C}"/>
            </c:ext>
          </c:extLst>
        </c:ser>
        <c:ser>
          <c:idx val="9"/>
          <c:order val="7"/>
          <c:tx>
            <c:strRef>
              <c:f>Lighting!$AT$146</c:f>
              <c:strCache>
                <c:ptCount val="1"/>
                <c:pt idx="0">
                  <c:v>Right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Lighting!$AT$147:$AT$218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1.4335020382611429E-12</c:v>
                </c:pt>
                <c:pt idx="20">
                  <c:v>3.2898324204516914E-12</c:v>
                </c:pt>
                <c:pt idx="21">
                  <c:v>5.1211251880933975E-12</c:v>
                </c:pt>
                <c:pt idx="22">
                  <c:v>6.9134430967317963E-12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7.728602358735069E-12</c:v>
                </c:pt>
                <c:pt idx="51">
                  <c:v>5.9590411054842004E-12</c:v>
                </c:pt>
                <c:pt idx="52">
                  <c:v>4.1441279507192728E-12</c:v>
                </c:pt>
                <c:pt idx="53">
                  <c:v>2.2976754802202308E-12</c:v>
                </c:pt>
                <c:pt idx="54">
                  <c:v>4.337363130017051E-13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619-42C6-9425-9DECAF592A1C}"/>
            </c:ext>
          </c:extLst>
        </c:ser>
        <c:ser>
          <c:idx val="10"/>
          <c:order val="8"/>
          <c:tx>
            <c:strRef>
              <c:f>Lighting!$AU$146</c:f>
              <c:strCache>
                <c:ptCount val="1"/>
              </c:strCache>
            </c:strRef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dash"/>
            <c:size val="5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Lighting!$AU$147:$AU$218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619-42C6-9425-9DECAF592A1C}"/>
            </c:ext>
          </c:extLst>
        </c:ser>
        <c:ser>
          <c:idx val="11"/>
          <c:order val="9"/>
          <c:tx>
            <c:strRef>
              <c:f>Lighting!$AV$146</c:f>
              <c:strCache>
                <c:ptCount val="1"/>
              </c:strCache>
            </c:strRef>
          </c:tx>
          <c:spPr>
            <a:ln w="19050">
              <a:solidFill>
                <a:srgbClr val="FF00FF"/>
              </a:solidFill>
            </a:ln>
          </c:spPr>
          <c:marker>
            <c:symbol val="plus"/>
            <c:size val="5"/>
            <c:spPr>
              <a:ln>
                <a:solidFill>
                  <a:srgbClr val="FF00FF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Lighting!$AV$147:$AV$218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619-42C6-9425-9DECAF592A1C}"/>
            </c:ext>
          </c:extLst>
        </c:ser>
        <c:ser>
          <c:idx val="12"/>
          <c:order val="10"/>
          <c:tx>
            <c:strRef>
              <c:f>Lighting!$AW$146</c:f>
              <c:strCache>
                <c:ptCount val="1"/>
              </c:strCache>
            </c:strRef>
          </c:tx>
          <c:spPr>
            <a:ln w="19050">
              <a:solidFill>
                <a:srgbClr val="CC6600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Lighting!$AW$147:$AW$218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619-42C6-9425-9DECAF592A1C}"/>
            </c:ext>
          </c:extLst>
        </c:ser>
        <c:ser>
          <c:idx val="0"/>
          <c:order val="11"/>
          <c:tx>
            <c:strRef>
              <c:f>Lighting!$AX$146</c:f>
              <c:strCache>
                <c:ptCount val="1"/>
              </c:strCache>
            </c:strRef>
          </c:tx>
          <c:spPr>
            <a:ln w="19050"/>
          </c:spP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Lighting!$AX$147:$AX$218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619-42C6-9425-9DECAF592A1C}"/>
            </c:ext>
          </c:extLst>
        </c:ser>
        <c:ser>
          <c:idx val="1"/>
          <c:order val="12"/>
          <c:tx>
            <c:strRef>
              <c:f>Lighting!$AY$146</c:f>
              <c:strCache>
                <c:ptCount val="1"/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Lighting!$AJ$147:$AJ$218</c:f>
              <c:numCache>
                <c:formatCode>General</c:formatCode>
                <c:ptCount val="72"/>
                <c:pt idx="0">
                  <c:v>0</c:v>
                </c:pt>
                <c:pt idx="1">
                  <c:v>5.0000001372571337</c:v>
                </c:pt>
                <c:pt idx="2">
                  <c:v>10.000000274514267</c:v>
                </c:pt>
                <c:pt idx="3">
                  <c:v>15.000000411771399</c:v>
                </c:pt>
                <c:pt idx="4">
                  <c:v>20.000000549028535</c:v>
                </c:pt>
                <c:pt idx="5">
                  <c:v>25.000000686285667</c:v>
                </c:pt>
                <c:pt idx="6">
                  <c:v>30.000000823542798</c:v>
                </c:pt>
                <c:pt idx="7">
                  <c:v>35.00000096079993</c:v>
                </c:pt>
                <c:pt idx="8">
                  <c:v>40.000001098057069</c:v>
                </c:pt>
                <c:pt idx="9">
                  <c:v>45.000001235314201</c:v>
                </c:pt>
                <c:pt idx="10">
                  <c:v>50.000001372571333</c:v>
                </c:pt>
                <c:pt idx="11">
                  <c:v>55.000001509828465</c:v>
                </c:pt>
                <c:pt idx="12">
                  <c:v>60.000001647085597</c:v>
                </c:pt>
                <c:pt idx="13">
                  <c:v>65.000001784342729</c:v>
                </c:pt>
                <c:pt idx="14">
                  <c:v>70.000001921599846</c:v>
                </c:pt>
                <c:pt idx="15">
                  <c:v>75.000002058856978</c:v>
                </c:pt>
                <c:pt idx="16">
                  <c:v>80.00000219611411</c:v>
                </c:pt>
                <c:pt idx="17">
                  <c:v>85.000002333371228</c:v>
                </c:pt>
                <c:pt idx="18">
                  <c:v>90.00000247062836</c:v>
                </c:pt>
                <c:pt idx="19">
                  <c:v>95.000002607885492</c:v>
                </c:pt>
                <c:pt idx="20">
                  <c:v>100.00000274514261</c:v>
                </c:pt>
                <c:pt idx="21">
                  <c:v>105.00000288239974</c:v>
                </c:pt>
                <c:pt idx="22">
                  <c:v>110.00000301965687</c:v>
                </c:pt>
                <c:pt idx="23">
                  <c:v>115.00000315691399</c:v>
                </c:pt>
                <c:pt idx="24">
                  <c:v>120.00000329417112</c:v>
                </c:pt>
                <c:pt idx="25">
                  <c:v>125.00000343142825</c:v>
                </c:pt>
                <c:pt idx="26">
                  <c:v>130.00000356868537</c:v>
                </c:pt>
                <c:pt idx="27">
                  <c:v>135.0000037059425</c:v>
                </c:pt>
                <c:pt idx="28">
                  <c:v>140.00000384319964</c:v>
                </c:pt>
                <c:pt idx="29">
                  <c:v>145.00000398045677</c:v>
                </c:pt>
                <c:pt idx="30">
                  <c:v>150.00000411771387</c:v>
                </c:pt>
                <c:pt idx="31">
                  <c:v>155.000004254971</c:v>
                </c:pt>
                <c:pt idx="32">
                  <c:v>160.00000439222813</c:v>
                </c:pt>
                <c:pt idx="33">
                  <c:v>165.00000452948527</c:v>
                </c:pt>
                <c:pt idx="34">
                  <c:v>170.0000046667424</c:v>
                </c:pt>
                <c:pt idx="35">
                  <c:v>175.00000480399953</c:v>
                </c:pt>
                <c:pt idx="36">
                  <c:v>180.00000494125663</c:v>
                </c:pt>
                <c:pt idx="37">
                  <c:v>185.00000507851377</c:v>
                </c:pt>
                <c:pt idx="38">
                  <c:v>190.0000052157709</c:v>
                </c:pt>
                <c:pt idx="39">
                  <c:v>195.00000535302803</c:v>
                </c:pt>
                <c:pt idx="40">
                  <c:v>200.00000549028516</c:v>
                </c:pt>
                <c:pt idx="41">
                  <c:v>205.00000562754227</c:v>
                </c:pt>
                <c:pt idx="42">
                  <c:v>210.0000057647994</c:v>
                </c:pt>
                <c:pt idx="43">
                  <c:v>215.00000590205653</c:v>
                </c:pt>
                <c:pt idx="44">
                  <c:v>220.00000603931366</c:v>
                </c:pt>
                <c:pt idx="45">
                  <c:v>225.00000617657079</c:v>
                </c:pt>
                <c:pt idx="46">
                  <c:v>230.00000631382795</c:v>
                </c:pt>
                <c:pt idx="47">
                  <c:v>235.00000645108506</c:v>
                </c:pt>
                <c:pt idx="48">
                  <c:v>240.00000658834219</c:v>
                </c:pt>
                <c:pt idx="49">
                  <c:v>245.00000672559932</c:v>
                </c:pt>
                <c:pt idx="50">
                  <c:v>250.00000686285645</c:v>
                </c:pt>
                <c:pt idx="51">
                  <c:v>255.00000700011358</c:v>
                </c:pt>
                <c:pt idx="52">
                  <c:v>260.00000713737069</c:v>
                </c:pt>
                <c:pt idx="53">
                  <c:v>265.00000727462782</c:v>
                </c:pt>
                <c:pt idx="54">
                  <c:v>270.00000741188495</c:v>
                </c:pt>
                <c:pt idx="55">
                  <c:v>275.00000754914208</c:v>
                </c:pt>
                <c:pt idx="56">
                  <c:v>280.00000768639921</c:v>
                </c:pt>
                <c:pt idx="57">
                  <c:v>285.00000782365635</c:v>
                </c:pt>
                <c:pt idx="58">
                  <c:v>290.00000796091348</c:v>
                </c:pt>
                <c:pt idx="59">
                  <c:v>295.00000809817061</c:v>
                </c:pt>
                <c:pt idx="60">
                  <c:v>300.00000823542774</c:v>
                </c:pt>
                <c:pt idx="61">
                  <c:v>305.00000837268482</c:v>
                </c:pt>
                <c:pt idx="62">
                  <c:v>310.00000850994195</c:v>
                </c:pt>
                <c:pt idx="63">
                  <c:v>315.00000864719908</c:v>
                </c:pt>
                <c:pt idx="64">
                  <c:v>320.00000878445621</c:v>
                </c:pt>
                <c:pt idx="65">
                  <c:v>325.00000892171334</c:v>
                </c:pt>
                <c:pt idx="66">
                  <c:v>330.00000905897048</c:v>
                </c:pt>
                <c:pt idx="67">
                  <c:v>335.00000919622761</c:v>
                </c:pt>
                <c:pt idx="68">
                  <c:v>340.00000933348474</c:v>
                </c:pt>
                <c:pt idx="69">
                  <c:v>345.00000947074187</c:v>
                </c:pt>
                <c:pt idx="70">
                  <c:v>350.000009607999</c:v>
                </c:pt>
                <c:pt idx="71">
                  <c:v>355.00000974525614</c:v>
                </c:pt>
              </c:numCache>
            </c:numRef>
          </c:xVal>
          <c:yVal>
            <c:numRef>
              <c:f>Lighting!$AY$147:$AY$218</c:f>
              <c:numCache>
                <c:formatCode>General</c:formatCode>
                <c:ptCount val="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619-42C6-9425-9DECAF59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6496"/>
        <c:axId val="32348800"/>
      </c:scatterChart>
      <c:valAx>
        <c:axId val="32346496"/>
        <c:scaling>
          <c:orientation val="minMax"/>
          <c:max val="3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/>
                  <a:t>True Anomaly (Degrees)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348800"/>
        <c:crosses val="autoZero"/>
        <c:crossBetween val="midCat"/>
      </c:valAx>
      <c:valAx>
        <c:axId val="3234880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/>
                  <a:t>Power (Watts)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32346496"/>
        <c:crosses val="autoZero"/>
        <c:crossBetween val="midCat"/>
      </c:valAx>
      <c:spPr>
        <a:solidFill>
          <a:schemeClr val="bg1">
            <a:lumMod val="65000"/>
          </a:schemeClr>
        </a:solidFill>
      </c:spPr>
    </c:plotArea>
    <c:legend>
      <c:legendPos val="r"/>
      <c:layout>
        <c:manualLayout>
          <c:xMode val="edge"/>
          <c:yMode val="edge"/>
          <c:x val="0.80485279798905296"/>
          <c:y val="0.153298366945569"/>
          <c:w val="0.170848390146315"/>
          <c:h val="0.37762182574424402"/>
        </c:manualLayout>
      </c:layout>
      <c:overlay val="0"/>
      <c:spPr>
        <a:solidFill>
          <a:sysClr val="window" lastClr="FFFFFF">
            <a:lumMod val="7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CheckBox" fmlaLink="$E$81" lockText="1"/>
</file>

<file path=xl/ctrlProps/ctrlProp2.xml><?xml version="1.0" encoding="utf-8"?>
<formControlPr xmlns="http://schemas.microsoft.com/office/spreadsheetml/2009/9/main" objectType="CheckBox" fmlaLink="$F$81" lockText="1"/>
</file>

<file path=xl/ctrlProps/ctrlProp3.xml><?xml version="1.0" encoding="utf-8"?>
<formControlPr xmlns="http://schemas.microsoft.com/office/spreadsheetml/2009/9/main" objectType="CheckBox" fmlaLink="$G$81" lockText="1"/>
</file>

<file path=xl/ctrlProps/ctrlProp4.xml><?xml version="1.0" encoding="utf-8"?>
<formControlPr xmlns="http://schemas.microsoft.com/office/spreadsheetml/2009/9/main" objectType="CheckBox" fmlaLink="$H$81" lockText="1"/>
</file>

<file path=xl/ctrlProps/ctrlProp5.xml><?xml version="1.0" encoding="utf-8"?>
<formControlPr xmlns="http://schemas.microsoft.com/office/spreadsheetml/2009/9/main" objectType="CheckBox" fmlaLink="$I$81" lockText="1"/>
</file>

<file path=xl/ctrlProps/ctrlProp6.xml><?xml version="1.0" encoding="utf-8"?>
<formControlPr xmlns="http://schemas.microsoft.com/office/spreadsheetml/2009/9/main" objectType="CheckBox" fmlaLink="$J$81" lockText="1"/>
</file>

<file path=xl/ctrlProps/ctrlProp7.xml><?xml version="1.0" encoding="utf-8"?>
<formControlPr xmlns="http://schemas.microsoft.com/office/spreadsheetml/2009/9/main" objectType="CheckBox" fmlaLink="$K$81" lockText="1"/>
</file>

<file path=xl/ctrlProps/ctrlProp8.xml><?xml version="1.0" encoding="utf-8"?>
<formControlPr xmlns="http://schemas.microsoft.com/office/spreadsheetml/2009/9/main" objectType="CheckBox" fmlaLink="$L$81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3" dropStyle="combo" dx="16" fmlaLink="E82" fmlaRange="$N$116:$N$118" noThreeD="1" sel="1" val="0"/>
</file>

<file path=xl/ctrlProps/ctrlProp12.xml><?xml version="1.0" encoding="utf-8"?>
<formControlPr xmlns="http://schemas.microsoft.com/office/spreadsheetml/2009/9/main" objectType="Drop" dropLines="3" dropStyle="combo" dx="16" fmlaLink="F82" fmlaRange="$N$116:$N$118" noThreeD="1" sel="1" val="0"/>
</file>

<file path=xl/ctrlProps/ctrlProp13.xml><?xml version="1.0" encoding="utf-8"?>
<formControlPr xmlns="http://schemas.microsoft.com/office/spreadsheetml/2009/9/main" objectType="Drop" dropLines="3" dropStyle="combo" dx="16" fmlaLink="G82" fmlaRange="$N$116:$N$118" noThreeD="1" sel="1" val="0"/>
</file>

<file path=xl/ctrlProps/ctrlProp14.xml><?xml version="1.0" encoding="utf-8"?>
<formControlPr xmlns="http://schemas.microsoft.com/office/spreadsheetml/2009/9/main" objectType="Drop" dropLines="3" dropStyle="combo" dx="16" fmlaLink="H82" fmlaRange="$N$116:$N$118" noThreeD="1" sel="1" val="0"/>
</file>

<file path=xl/ctrlProps/ctrlProp15.xml><?xml version="1.0" encoding="utf-8"?>
<formControlPr xmlns="http://schemas.microsoft.com/office/spreadsheetml/2009/9/main" objectType="Drop" dropLines="3" dropStyle="combo" dx="16" fmlaLink="I82" fmlaRange="$N$116:$N$118" noThreeD="1" sel="1" val="0"/>
</file>

<file path=xl/ctrlProps/ctrlProp16.xml><?xml version="1.0" encoding="utf-8"?>
<formControlPr xmlns="http://schemas.microsoft.com/office/spreadsheetml/2009/9/main" objectType="Drop" dropLines="3" dropStyle="combo" dx="16" fmlaLink="J82" fmlaRange="$N$116:$N$118" noThreeD="1" sel="1" val="0"/>
</file>

<file path=xl/ctrlProps/ctrlProp17.xml><?xml version="1.0" encoding="utf-8"?>
<formControlPr xmlns="http://schemas.microsoft.com/office/spreadsheetml/2009/9/main" objectType="Drop" dropLines="3" dropStyle="combo" dx="16" fmlaLink="K82" fmlaRange="$N$116:$N$118" noThreeD="1" sel="1" val="0"/>
</file>

<file path=xl/ctrlProps/ctrlProp18.xml><?xml version="1.0" encoding="utf-8"?>
<formControlPr xmlns="http://schemas.microsoft.com/office/spreadsheetml/2009/9/main" objectType="Drop" dropLines="3" dropStyle="combo" dx="16" fmlaLink="L82" fmlaRange="$N$116:$N$118" noThreeD="1" sel="1" val="0"/>
</file>

<file path=xl/ctrlProps/ctrlProp19.xml><?xml version="1.0" encoding="utf-8"?>
<formControlPr xmlns="http://schemas.microsoft.com/office/spreadsheetml/2009/9/main" objectType="Drop" dropLines="3" dropStyle="combo" dx="16" fmlaLink="I82" fmlaRange="$N$116:$N$118" noThreeD="1" sel="1" val="0"/>
</file>

<file path=xl/ctrlProps/ctrlProp20.xml><?xml version="1.0" encoding="utf-8"?>
<formControlPr xmlns="http://schemas.microsoft.com/office/spreadsheetml/2009/9/main" objectType="Drop" dropLines="3" dropStyle="combo" dx="16" fmlaLink="I82" fmlaRange="$N$116:$N$118" noThreeD="1" sel="1" val="0"/>
</file>

<file path=xl/ctrlProps/ctrlProp21.xml><?xml version="1.0" encoding="utf-8"?>
<formControlPr xmlns="http://schemas.microsoft.com/office/spreadsheetml/2009/9/main" objectType="Drop" dropLines="3" dropStyle="combo" dx="16" fmlaLink="I82" fmlaRange="$N$116:$N$118" noThreeD="1" sel="1" val="0"/>
</file>

<file path=xl/ctrlProps/ctrlProp22.xml><?xml version="1.0" encoding="utf-8"?>
<formControlPr xmlns="http://schemas.microsoft.com/office/spreadsheetml/2009/9/main" objectType="Radio" checked="Checked" firstButton="1" fmlaLink="$D$52" lockText="1" noThreeD="1"/>
</file>

<file path=xl/ctrlProps/ctrlProp23.xml><?xml version="1.0" encoding="utf-8"?>
<formControlPr xmlns="http://schemas.microsoft.com/office/spreadsheetml/2009/9/main" objectType="CheckBox" checked="Checked" fmlaLink="D65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4.png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80</xdr:row>
          <xdr:rowOff>0</xdr:rowOff>
        </xdr:from>
        <xdr:to>
          <xdr:col>5</xdr:col>
          <xdr:colOff>0</xdr:colOff>
          <xdr:row>81</xdr:row>
          <xdr:rowOff>104774</xdr:rowOff>
        </xdr:to>
        <xdr:sp macro="" textlink="">
          <xdr:nvSpPr>
            <xdr:cNvPr id="38936" name="Check Box 24" hidden="1">
              <a:extLst>
                <a:ext uri="{63B3BB69-23CF-44E3-9099-C40C66FF867C}">
                  <a14:compatExt spid="_x0000_s3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80</xdr:row>
          <xdr:rowOff>0</xdr:rowOff>
        </xdr:from>
        <xdr:to>
          <xdr:col>6</xdr:col>
          <xdr:colOff>0</xdr:colOff>
          <xdr:row>81</xdr:row>
          <xdr:rowOff>104774</xdr:rowOff>
        </xdr:to>
        <xdr:sp macro="" textlink="">
          <xdr:nvSpPr>
            <xdr:cNvPr id="38937" name="Check Box 25" hidden="1">
              <a:extLst>
                <a:ext uri="{63B3BB69-23CF-44E3-9099-C40C66FF867C}">
                  <a14:compatExt spid="_x0000_s38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80</xdr:row>
          <xdr:rowOff>0</xdr:rowOff>
        </xdr:from>
        <xdr:to>
          <xdr:col>7</xdr:col>
          <xdr:colOff>0</xdr:colOff>
          <xdr:row>81</xdr:row>
          <xdr:rowOff>104774</xdr:rowOff>
        </xdr:to>
        <xdr:sp macro="" textlink="">
          <xdr:nvSpPr>
            <xdr:cNvPr id="38938" name="Check Box 26" hidden="1">
              <a:extLst>
                <a:ext uri="{63B3BB69-23CF-44E3-9099-C40C66FF867C}">
                  <a14:compatExt spid="_x0000_s3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80</xdr:row>
          <xdr:rowOff>0</xdr:rowOff>
        </xdr:from>
        <xdr:to>
          <xdr:col>8</xdr:col>
          <xdr:colOff>0</xdr:colOff>
          <xdr:row>81</xdr:row>
          <xdr:rowOff>104774</xdr:rowOff>
        </xdr:to>
        <xdr:sp macro="" textlink="">
          <xdr:nvSpPr>
            <xdr:cNvPr id="38939" name="Check Box 27" hidden="1">
              <a:extLst>
                <a:ext uri="{63B3BB69-23CF-44E3-9099-C40C66FF867C}">
                  <a14:compatExt spid="_x0000_s3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80</xdr:row>
          <xdr:rowOff>0</xdr:rowOff>
        </xdr:from>
        <xdr:to>
          <xdr:col>9</xdr:col>
          <xdr:colOff>0</xdr:colOff>
          <xdr:row>81</xdr:row>
          <xdr:rowOff>104774</xdr:rowOff>
        </xdr:to>
        <xdr:sp macro="" textlink="">
          <xdr:nvSpPr>
            <xdr:cNvPr id="38940" name="Check Box 28" hidden="1">
              <a:extLst>
                <a:ext uri="{63B3BB69-23CF-44E3-9099-C40C66FF867C}">
                  <a14:compatExt spid="_x0000_s3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80</xdr:row>
          <xdr:rowOff>0</xdr:rowOff>
        </xdr:from>
        <xdr:to>
          <xdr:col>10</xdr:col>
          <xdr:colOff>0</xdr:colOff>
          <xdr:row>81</xdr:row>
          <xdr:rowOff>104774</xdr:rowOff>
        </xdr:to>
        <xdr:sp macro="" textlink="">
          <xdr:nvSpPr>
            <xdr:cNvPr id="38941" name="Check Box 29" hidden="1">
              <a:extLst>
                <a:ext uri="{63B3BB69-23CF-44E3-9099-C40C66FF867C}">
                  <a14:compatExt spid="_x0000_s3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80</xdr:row>
          <xdr:rowOff>0</xdr:rowOff>
        </xdr:from>
        <xdr:to>
          <xdr:col>11</xdr:col>
          <xdr:colOff>0</xdr:colOff>
          <xdr:row>81</xdr:row>
          <xdr:rowOff>104774</xdr:rowOff>
        </xdr:to>
        <xdr:sp macro="" textlink="">
          <xdr:nvSpPr>
            <xdr:cNvPr id="38942" name="Check Box 30" hidden="1">
              <a:extLst>
                <a:ext uri="{63B3BB69-23CF-44E3-9099-C40C66FF867C}">
                  <a14:compatExt spid="_x0000_s3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80</xdr:row>
          <xdr:rowOff>0</xdr:rowOff>
        </xdr:from>
        <xdr:to>
          <xdr:col>12</xdr:col>
          <xdr:colOff>0</xdr:colOff>
          <xdr:row>81</xdr:row>
          <xdr:rowOff>104774</xdr:rowOff>
        </xdr:to>
        <xdr:sp macro="" textlink="">
          <xdr:nvSpPr>
            <xdr:cNvPr id="38943" name="Check Box 31" hidden="1">
              <a:extLst>
                <a:ext uri="{63B3BB69-23CF-44E3-9099-C40C66FF867C}">
                  <a14:compatExt spid="_x0000_s3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309163</xdr:colOff>
      <xdr:row>73</xdr:row>
      <xdr:rowOff>157369</xdr:rowOff>
    </xdr:from>
    <xdr:to>
      <xdr:col>19</xdr:col>
      <xdr:colOff>216844</xdr:colOff>
      <xdr:row>94</xdr:row>
      <xdr:rowOff>2803</xdr:rowOff>
    </xdr:to>
    <xdr:grpSp>
      <xdr:nvGrpSpPr>
        <xdr:cNvPr id="39506" name="Group 214"/>
        <xdr:cNvGrpSpPr>
          <a:grpSpLocks/>
        </xdr:cNvGrpSpPr>
      </xdr:nvGrpSpPr>
      <xdr:grpSpPr bwMode="auto">
        <a:xfrm>
          <a:off x="8052428" y="12091634"/>
          <a:ext cx="3997828" cy="3397698"/>
          <a:chOff x="645" y="637"/>
          <a:chExt cx="428" cy="345"/>
        </a:xfrm>
      </xdr:grpSpPr>
      <xdr:sp macro="" textlink="">
        <xdr:nvSpPr>
          <xdr:cNvPr id="39572" name="Line 62"/>
          <xdr:cNvSpPr>
            <a:spLocks noChangeShapeType="1"/>
          </xdr:cNvSpPr>
        </xdr:nvSpPr>
        <xdr:spPr bwMode="auto">
          <a:xfrm>
            <a:off x="883" y="776"/>
            <a:ext cx="103" cy="1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73" name="Line 45"/>
          <xdr:cNvSpPr>
            <a:spLocks noChangeShapeType="1"/>
          </xdr:cNvSpPr>
        </xdr:nvSpPr>
        <xdr:spPr bwMode="auto">
          <a:xfrm flipV="1">
            <a:off x="774" y="650"/>
            <a:ext cx="0" cy="2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74" name="Line 46"/>
          <xdr:cNvSpPr>
            <a:spLocks noChangeShapeType="1"/>
          </xdr:cNvSpPr>
        </xdr:nvSpPr>
        <xdr:spPr bwMode="auto">
          <a:xfrm>
            <a:off x="774" y="881"/>
            <a:ext cx="19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75" name="Line 47"/>
          <xdr:cNvSpPr>
            <a:spLocks noChangeShapeType="1"/>
          </xdr:cNvSpPr>
        </xdr:nvSpPr>
        <xdr:spPr bwMode="auto">
          <a:xfrm flipH="1">
            <a:off x="652" y="881"/>
            <a:ext cx="122" cy="9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76" name="Rectangle 48"/>
          <xdr:cNvSpPr>
            <a:spLocks noChangeArrowheads="1"/>
          </xdr:cNvSpPr>
        </xdr:nvSpPr>
        <xdr:spPr bwMode="auto">
          <a:xfrm rot="3006954">
            <a:off x="892" y="677"/>
            <a:ext cx="77" cy="121"/>
          </a:xfrm>
          <a:prstGeom prst="rect">
            <a:avLst/>
          </a:prstGeom>
          <a:solidFill>
            <a:srgbClr val="0099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77" name="Line 49"/>
          <xdr:cNvSpPr>
            <a:spLocks noChangeShapeType="1"/>
          </xdr:cNvSpPr>
        </xdr:nvSpPr>
        <xdr:spPr bwMode="auto">
          <a:xfrm flipV="1">
            <a:off x="883" y="672"/>
            <a:ext cx="115" cy="10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78" name="Line 50"/>
          <xdr:cNvSpPr>
            <a:spLocks noChangeShapeType="1"/>
          </xdr:cNvSpPr>
        </xdr:nvSpPr>
        <xdr:spPr bwMode="auto">
          <a:xfrm>
            <a:off x="851" y="735"/>
            <a:ext cx="70" cy="9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79" name="Arc 51"/>
          <xdr:cNvSpPr>
            <a:spLocks/>
          </xdr:cNvSpPr>
        </xdr:nvSpPr>
        <xdr:spPr bwMode="auto">
          <a:xfrm rot="7245518">
            <a:off x="738" y="864"/>
            <a:ext cx="98" cy="86"/>
          </a:xfrm>
          <a:custGeom>
            <a:avLst/>
            <a:gdLst>
              <a:gd name="T0" fmla="*/ 0 w 25193"/>
              <a:gd name="T1" fmla="*/ 1 h 24098"/>
              <a:gd name="T2" fmla="*/ 97 w 25193"/>
              <a:gd name="T3" fmla="*/ 86 h 24098"/>
              <a:gd name="T4" fmla="*/ 14 w 25193"/>
              <a:gd name="T5" fmla="*/ 77 h 24098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5193" h="24098" fill="none" extrusionOk="0">
                <a:moveTo>
                  <a:pt x="-1" y="300"/>
                </a:moveTo>
                <a:cubicBezTo>
                  <a:pt x="1187" y="100"/>
                  <a:pt x="2389" y="-1"/>
                  <a:pt x="3593" y="0"/>
                </a:cubicBezTo>
                <a:cubicBezTo>
                  <a:pt x="15522" y="0"/>
                  <a:pt x="25193" y="9670"/>
                  <a:pt x="25193" y="21600"/>
                </a:cubicBezTo>
                <a:cubicBezTo>
                  <a:pt x="25193" y="22434"/>
                  <a:pt x="25144" y="23268"/>
                  <a:pt x="25048" y="24098"/>
                </a:cubicBezTo>
              </a:path>
              <a:path w="25193" h="24098" stroke="0" extrusionOk="0">
                <a:moveTo>
                  <a:pt x="-1" y="300"/>
                </a:moveTo>
                <a:cubicBezTo>
                  <a:pt x="1187" y="100"/>
                  <a:pt x="2389" y="-1"/>
                  <a:pt x="3593" y="0"/>
                </a:cubicBezTo>
                <a:cubicBezTo>
                  <a:pt x="15522" y="0"/>
                  <a:pt x="25193" y="9670"/>
                  <a:pt x="25193" y="21600"/>
                </a:cubicBezTo>
                <a:cubicBezTo>
                  <a:pt x="25193" y="22434"/>
                  <a:pt x="25144" y="23268"/>
                  <a:pt x="25048" y="24098"/>
                </a:cubicBezTo>
                <a:lnTo>
                  <a:pt x="3593" y="21600"/>
                </a:lnTo>
                <a:lnTo>
                  <a:pt x="-1" y="30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 type="arrow"/>
            <a:tailEnd type="none"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</a:extLst>
        </xdr:spPr>
      </xdr:sp>
      <xdr:sp macro="" textlink="">
        <xdr:nvSpPr>
          <xdr:cNvPr id="39580" name="Arc 52"/>
          <xdr:cNvSpPr>
            <a:spLocks/>
          </xdr:cNvSpPr>
        </xdr:nvSpPr>
        <xdr:spPr bwMode="auto">
          <a:xfrm rot="775069">
            <a:off x="857" y="818"/>
            <a:ext cx="45" cy="49"/>
          </a:xfrm>
          <a:custGeom>
            <a:avLst/>
            <a:gdLst>
              <a:gd name="T0" fmla="*/ 0 w 21600"/>
              <a:gd name="T1" fmla="*/ 0 h 21600"/>
              <a:gd name="T2" fmla="*/ 45 w 21600"/>
              <a:gd name="T3" fmla="*/ 49 h 21600"/>
              <a:gd name="T4" fmla="*/ 0 w 21600"/>
              <a:gd name="T5" fmla="*/ 49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 type="arrow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</a:extLst>
        </xdr:spPr>
      </xdr:sp>
      <xdr:sp macro="" textlink="">
        <xdr:nvSpPr>
          <xdr:cNvPr id="38965" name="Text Box 53"/>
          <xdr:cNvSpPr txBox="1">
            <a:spLocks noChangeArrowheads="1"/>
          </xdr:cNvSpPr>
        </xdr:nvSpPr>
        <xdr:spPr bwMode="auto">
          <a:xfrm>
            <a:off x="801" y="923"/>
            <a:ext cx="104" cy="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lnSpc>
                <a:spcPts val="2000"/>
              </a:lnSpc>
              <a:defRPr sz="1000"/>
            </a:pPr>
            <a:r>
              <a:rPr lang="en-US" sz="1800" b="0" i="0" u="none" strike="noStrike" baseline="0">
                <a:solidFill>
                  <a:srgbClr val="000000"/>
                </a:solidFill>
                <a:latin typeface="Times"/>
                <a:cs typeface="Times"/>
              </a:rPr>
              <a:t>Azimuth</a:t>
            </a:r>
          </a:p>
          <a:p>
            <a:pPr algn="l" rtl="0">
              <a:lnSpc>
                <a:spcPts val="1100"/>
              </a:lnSpc>
              <a:defRPr sz="1000"/>
            </a:pPr>
            <a:endParaRPr lang="en-US"/>
          </a:p>
        </xdr:txBody>
      </xdr:sp>
      <xdr:sp macro="" textlink="">
        <xdr:nvSpPr>
          <xdr:cNvPr id="38966" name="Text Box 54"/>
          <xdr:cNvSpPr txBox="1">
            <a:spLocks noChangeArrowheads="1"/>
          </xdr:cNvSpPr>
        </xdr:nvSpPr>
        <xdr:spPr bwMode="auto">
          <a:xfrm>
            <a:off x="894" y="838"/>
            <a:ext cx="112" cy="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lnSpc>
                <a:spcPts val="2000"/>
              </a:lnSpc>
              <a:defRPr sz="1000"/>
            </a:pPr>
            <a:r>
              <a:rPr lang="en-US" sz="1800" b="0" i="0" u="none" strike="noStrike" baseline="0">
                <a:solidFill>
                  <a:srgbClr val="000000"/>
                </a:solidFill>
                <a:latin typeface="Times"/>
                <a:cs typeface="Times"/>
              </a:rPr>
              <a:t>Elevation</a:t>
            </a:r>
          </a:p>
          <a:p>
            <a:pPr algn="l" rtl="0">
              <a:lnSpc>
                <a:spcPts val="1100"/>
              </a:lnSpc>
              <a:defRPr sz="1000"/>
            </a:pPr>
            <a:endParaRPr lang="en-US"/>
          </a:p>
        </xdr:txBody>
      </xdr:sp>
      <xdr:sp macro="" textlink="">
        <xdr:nvSpPr>
          <xdr:cNvPr id="39583" name="AutoShape 55"/>
          <xdr:cNvSpPr>
            <a:spLocks noChangeArrowheads="1"/>
          </xdr:cNvSpPr>
        </xdr:nvSpPr>
        <xdr:spPr bwMode="auto">
          <a:xfrm rot="2585149">
            <a:off x="973" y="650"/>
            <a:ext cx="38" cy="49"/>
          </a:xfrm>
          <a:prstGeom prst="curvedRightArrow">
            <a:avLst>
              <a:gd name="adj1" fmla="val 25789"/>
              <a:gd name="adj2" fmla="val 51579"/>
              <a:gd name="adj3" fmla="val 33333"/>
            </a:avLst>
          </a:prstGeom>
          <a:solidFill>
            <a:srgbClr val="FF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968" name="Text Box 56"/>
          <xdr:cNvSpPr txBox="1">
            <a:spLocks noChangeArrowheads="1"/>
          </xdr:cNvSpPr>
        </xdr:nvSpPr>
        <xdr:spPr bwMode="auto">
          <a:xfrm>
            <a:off x="1012" y="693"/>
            <a:ext cx="61" cy="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lnSpc>
                <a:spcPts val="2000"/>
              </a:lnSpc>
              <a:defRPr sz="1000"/>
            </a:pPr>
            <a:r>
              <a:rPr lang="en-US" sz="1800" b="0" i="0" u="none" strike="noStrike" baseline="0">
                <a:solidFill>
                  <a:srgbClr val="000000"/>
                </a:solidFill>
                <a:latin typeface="Times"/>
                <a:cs typeface="Times"/>
              </a:rPr>
              <a:t>Roll</a:t>
            </a:r>
          </a:p>
          <a:p>
            <a:pPr algn="l" rtl="0">
              <a:lnSpc>
                <a:spcPts val="1100"/>
              </a:lnSpc>
              <a:defRPr sz="1000"/>
            </a:pPr>
            <a:endParaRPr lang="en-US"/>
          </a:p>
        </xdr:txBody>
      </xdr:sp>
      <xdr:sp macro="" textlink="">
        <xdr:nvSpPr>
          <xdr:cNvPr id="38969" name="Text Box 57"/>
          <xdr:cNvSpPr txBox="1">
            <a:spLocks noChangeArrowheads="1"/>
          </xdr:cNvSpPr>
        </xdr:nvSpPr>
        <xdr:spPr bwMode="auto">
          <a:xfrm>
            <a:off x="951" y="897"/>
            <a:ext cx="43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00FF"/>
                </a:solidFill>
                <a:latin typeface="Times"/>
                <a:cs typeface="Times"/>
              </a:rPr>
              <a:t>Y</a:t>
            </a:r>
            <a:endParaRPr lang="en-US"/>
          </a:p>
        </xdr:txBody>
      </xdr:sp>
      <xdr:sp macro="" textlink="">
        <xdr:nvSpPr>
          <xdr:cNvPr id="38970" name="Text Box 58"/>
          <xdr:cNvSpPr txBox="1">
            <a:spLocks noChangeArrowheads="1"/>
          </xdr:cNvSpPr>
        </xdr:nvSpPr>
        <xdr:spPr bwMode="auto">
          <a:xfrm>
            <a:off x="645" y="915"/>
            <a:ext cx="43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00FF"/>
                </a:solidFill>
                <a:latin typeface="Times"/>
                <a:cs typeface="Times"/>
              </a:rPr>
              <a:t>X</a:t>
            </a:r>
            <a:endParaRPr lang="en-US"/>
          </a:p>
        </xdr:txBody>
      </xdr:sp>
      <xdr:sp macro="" textlink="">
        <xdr:nvSpPr>
          <xdr:cNvPr id="38971" name="Text Box 59"/>
          <xdr:cNvSpPr txBox="1">
            <a:spLocks noChangeArrowheads="1"/>
          </xdr:cNvSpPr>
        </xdr:nvSpPr>
        <xdr:spPr bwMode="auto">
          <a:xfrm>
            <a:off x="728" y="643"/>
            <a:ext cx="39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00FF"/>
                </a:solidFill>
                <a:latin typeface="Times"/>
                <a:cs typeface="Times"/>
              </a:rPr>
              <a:t>Z</a:t>
            </a:r>
            <a:endParaRPr lang="en-US"/>
          </a:p>
        </xdr:txBody>
      </xdr:sp>
      <xdr:sp macro="" textlink="">
        <xdr:nvSpPr>
          <xdr:cNvPr id="38972" name="Text Box 60"/>
          <xdr:cNvSpPr txBox="1">
            <a:spLocks noChangeArrowheads="1"/>
          </xdr:cNvSpPr>
        </xdr:nvSpPr>
        <xdr:spPr bwMode="auto">
          <a:xfrm>
            <a:off x="934" y="804"/>
            <a:ext cx="36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8000"/>
                </a:solidFill>
                <a:latin typeface="Times"/>
                <a:cs typeface="Times"/>
              </a:rPr>
              <a:t>y</a:t>
            </a:r>
            <a:endParaRPr lang="en-US"/>
          </a:p>
        </xdr:txBody>
      </xdr:sp>
      <xdr:sp macro="" textlink="">
        <xdr:nvSpPr>
          <xdr:cNvPr id="38973" name="Text Box 61"/>
          <xdr:cNvSpPr txBox="1">
            <a:spLocks noChangeArrowheads="1"/>
          </xdr:cNvSpPr>
        </xdr:nvSpPr>
        <xdr:spPr bwMode="auto">
          <a:xfrm>
            <a:off x="1024" y="637"/>
            <a:ext cx="36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8000"/>
                </a:solidFill>
                <a:latin typeface="Times"/>
                <a:cs typeface="Times"/>
              </a:rPr>
              <a:t>x</a:t>
            </a:r>
            <a:endParaRPr lang="en-US"/>
          </a:p>
        </xdr:txBody>
      </xdr:sp>
      <xdr:sp macro="" textlink="">
        <xdr:nvSpPr>
          <xdr:cNvPr id="38975" name="Text Box 63"/>
          <xdr:cNvSpPr txBox="1">
            <a:spLocks noChangeArrowheads="1"/>
          </xdr:cNvSpPr>
        </xdr:nvSpPr>
        <xdr:spPr bwMode="auto">
          <a:xfrm>
            <a:off x="973" y="783"/>
            <a:ext cx="34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8000"/>
                </a:solidFill>
                <a:latin typeface="Times"/>
                <a:cs typeface="Times"/>
              </a:rPr>
              <a:t>z</a:t>
            </a:r>
            <a:endParaRPr lang="en-US"/>
          </a:p>
        </xdr:txBody>
      </xdr:sp>
      <xdr:sp macro="" textlink="">
        <xdr:nvSpPr>
          <xdr:cNvPr id="38976" name="Text Box 64"/>
          <xdr:cNvSpPr txBox="1">
            <a:spLocks noChangeArrowheads="1"/>
          </xdr:cNvSpPr>
        </xdr:nvSpPr>
        <xdr:spPr bwMode="auto">
          <a:xfrm>
            <a:off x="678" y="949"/>
            <a:ext cx="255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FF"/>
                </a:solidFill>
                <a:latin typeface="Times"/>
                <a:cs typeface="Times"/>
              </a:rPr>
              <a:t>Spacecraft Body Coordinates</a:t>
            </a:r>
            <a:endParaRPr lang="en-US"/>
          </a:p>
        </xdr:txBody>
      </xdr:sp>
      <xdr:sp macro="" textlink="">
        <xdr:nvSpPr>
          <xdr:cNvPr id="38977" name="Text Box 65"/>
          <xdr:cNvSpPr txBox="1">
            <a:spLocks noChangeArrowheads="1"/>
          </xdr:cNvSpPr>
        </xdr:nvSpPr>
        <xdr:spPr bwMode="auto">
          <a:xfrm>
            <a:off x="792" y="643"/>
            <a:ext cx="184" cy="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339966"/>
                </a:solidFill>
                <a:latin typeface="Times"/>
                <a:cs typeface="Times"/>
              </a:rPr>
              <a:t>Surface Coordinates</a:t>
            </a:r>
            <a:endParaRPr lang="en-US"/>
          </a:p>
        </xdr:txBody>
      </xdr:sp>
      <xdr:sp macro="" textlink="">
        <xdr:nvSpPr>
          <xdr:cNvPr id="38978" name="Text Box 66"/>
          <xdr:cNvSpPr txBox="1">
            <a:spLocks noChangeArrowheads="1"/>
          </xdr:cNvSpPr>
        </xdr:nvSpPr>
        <xdr:spPr bwMode="auto">
          <a:xfrm>
            <a:off x="777" y="783"/>
            <a:ext cx="86" cy="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lnSpc>
                <a:spcPts val="1500"/>
              </a:lnSpc>
              <a:defRPr sz="1000"/>
            </a:pPr>
            <a:r>
              <a:rPr lang="en-US" sz="1400" b="0" i="0" u="none" strike="noStrike" baseline="0">
                <a:solidFill>
                  <a:srgbClr val="FF0000"/>
                </a:solidFill>
                <a:latin typeface="Times"/>
                <a:cs typeface="Times"/>
              </a:rPr>
              <a:t>Position </a:t>
            </a:r>
          </a:p>
          <a:p>
            <a:pPr algn="l" rtl="0">
              <a:lnSpc>
                <a:spcPts val="1500"/>
              </a:lnSpc>
              <a:defRPr sz="1000"/>
            </a:pPr>
            <a:r>
              <a:rPr lang="en-US" sz="1400" b="0" i="0" u="none" strike="noStrike" baseline="0">
                <a:solidFill>
                  <a:srgbClr val="FF0000"/>
                </a:solidFill>
                <a:latin typeface="Times"/>
                <a:cs typeface="Times"/>
              </a:rPr>
              <a:t>Vector</a:t>
            </a:r>
            <a:endParaRPr lang="en-US"/>
          </a:p>
        </xdr:txBody>
      </xdr:sp>
      <xdr:sp macro="" textlink="">
        <xdr:nvSpPr>
          <xdr:cNvPr id="39594" name="Line 67"/>
          <xdr:cNvSpPr>
            <a:spLocks noChangeShapeType="1"/>
          </xdr:cNvSpPr>
        </xdr:nvSpPr>
        <xdr:spPr bwMode="auto">
          <a:xfrm flipV="1">
            <a:off x="774" y="776"/>
            <a:ext cx="109" cy="10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59</xdr:row>
          <xdr:rowOff>76200</xdr:rowOff>
        </xdr:from>
        <xdr:to>
          <xdr:col>5</xdr:col>
          <xdr:colOff>600075</xdr:colOff>
          <xdr:row>60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59</xdr:row>
          <xdr:rowOff>76200</xdr:rowOff>
        </xdr:from>
        <xdr:to>
          <xdr:col>8</xdr:col>
          <xdr:colOff>504825</xdr:colOff>
          <xdr:row>60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: 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Inputs/Outputs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426809</xdr:colOff>
      <xdr:row>72</xdr:row>
      <xdr:rowOff>190499</xdr:rowOff>
    </xdr:from>
    <xdr:to>
      <xdr:col>23</xdr:col>
      <xdr:colOff>127870</xdr:colOff>
      <xdr:row>91</xdr:row>
      <xdr:rowOff>165237</xdr:rowOff>
    </xdr:to>
    <xdr:grpSp>
      <xdr:nvGrpSpPr>
        <xdr:cNvPr id="39507" name="Group 213"/>
        <xdr:cNvGrpSpPr>
          <a:grpSpLocks/>
        </xdr:cNvGrpSpPr>
      </xdr:nvGrpSpPr>
      <xdr:grpSpPr bwMode="auto">
        <a:xfrm>
          <a:off x="12260221" y="11934264"/>
          <a:ext cx="2076708" cy="3235649"/>
          <a:chOff x="1102" y="622"/>
          <a:chExt cx="224" cy="329"/>
        </a:xfrm>
      </xdr:grpSpPr>
      <xdr:sp macro="" textlink="">
        <xdr:nvSpPr>
          <xdr:cNvPr id="39117" name="Rectangle 205"/>
          <xdr:cNvSpPr>
            <a:spLocks noChangeArrowheads="1"/>
          </xdr:cNvSpPr>
        </xdr:nvSpPr>
        <xdr:spPr bwMode="auto">
          <a:xfrm>
            <a:off x="1166" y="726"/>
            <a:ext cx="112" cy="168"/>
          </a:xfrm>
          <a:prstGeom prst="rect">
            <a:avLst/>
          </a:prstGeom>
          <a:solidFill>
            <a:srgbClr val="00CC99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Front surface of panel</a:t>
            </a:r>
            <a:endParaRPr lang="en-US" sz="24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9565" name="Line 206"/>
          <xdr:cNvSpPr>
            <a:spLocks noChangeShapeType="1"/>
          </xdr:cNvSpPr>
        </xdr:nvSpPr>
        <xdr:spPr bwMode="auto">
          <a:xfrm>
            <a:off x="1222" y="694"/>
            <a:ext cx="0" cy="20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66" name="Line 207"/>
          <xdr:cNvSpPr>
            <a:spLocks noChangeShapeType="1"/>
          </xdr:cNvSpPr>
        </xdr:nvSpPr>
        <xdr:spPr bwMode="auto">
          <a:xfrm>
            <a:off x="1118" y="894"/>
            <a:ext cx="20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567" name="Line 208"/>
          <xdr:cNvSpPr>
            <a:spLocks noChangeShapeType="1"/>
          </xdr:cNvSpPr>
        </xdr:nvSpPr>
        <xdr:spPr bwMode="auto">
          <a:xfrm flipH="1">
            <a:off x="1166" y="894"/>
            <a:ext cx="56" cy="5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121" name="Text Box 209"/>
          <xdr:cNvSpPr txBox="1">
            <a:spLocks noChangeArrowheads="1"/>
          </xdr:cNvSpPr>
        </xdr:nvSpPr>
        <xdr:spPr bwMode="auto">
          <a:xfrm>
            <a:off x="1113" y="622"/>
            <a:ext cx="192" cy="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ctr" rtl="0">
              <a:defRPr sz="1000"/>
            </a:pPr>
            <a:r>
              <a:rPr lang="en-US" sz="16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Surface Coordinate </a:t>
            </a:r>
          </a:p>
          <a:p>
            <a:pPr algn="ctr" rtl="0">
              <a:lnSpc>
                <a:spcPts val="1700"/>
              </a:lnSpc>
              <a:defRPr sz="1000"/>
            </a:pPr>
            <a:r>
              <a:rPr lang="en-US" sz="16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System</a:t>
            </a:r>
            <a:endParaRPr lang="en-US"/>
          </a:p>
        </xdr:txBody>
      </xdr:sp>
      <xdr:sp macro="" textlink="">
        <xdr:nvSpPr>
          <xdr:cNvPr id="39122" name="Text Box 210"/>
          <xdr:cNvSpPr txBox="1">
            <a:spLocks noChangeArrowheads="1"/>
          </xdr:cNvSpPr>
        </xdr:nvSpPr>
        <xdr:spPr bwMode="auto">
          <a:xfrm>
            <a:off x="1222" y="673"/>
            <a:ext cx="43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X</a:t>
            </a:r>
            <a:endParaRPr lang="en-US"/>
          </a:p>
        </xdr:txBody>
      </xdr:sp>
      <xdr:sp macro="" textlink="">
        <xdr:nvSpPr>
          <xdr:cNvPr id="39123" name="Text Box 211"/>
          <xdr:cNvSpPr txBox="1">
            <a:spLocks noChangeArrowheads="1"/>
          </xdr:cNvSpPr>
        </xdr:nvSpPr>
        <xdr:spPr bwMode="auto">
          <a:xfrm>
            <a:off x="1102" y="850"/>
            <a:ext cx="43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Y</a:t>
            </a:r>
            <a:endParaRPr lang="en-US"/>
          </a:p>
        </xdr:txBody>
      </xdr:sp>
      <xdr:sp macro="" textlink="">
        <xdr:nvSpPr>
          <xdr:cNvPr id="39124" name="Text Box 212"/>
          <xdr:cNvSpPr txBox="1">
            <a:spLocks noChangeArrowheads="1"/>
          </xdr:cNvSpPr>
        </xdr:nvSpPr>
        <xdr:spPr bwMode="auto">
          <a:xfrm>
            <a:off x="1142" y="902"/>
            <a:ext cx="39" cy="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00CC9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91440" tIns="45720" rIns="91440" bIns="45720" anchor="t" upright="1">
            <a:spAutoFit/>
          </a:bodyPr>
          <a:lstStyle/>
          <a:p>
            <a:pPr algn="l" rtl="0">
              <a:defRPr sz="1000"/>
            </a:pPr>
            <a:r>
              <a:rPr lang="en-US" sz="24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Z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81</xdr:row>
          <xdr:rowOff>28575</xdr:rowOff>
        </xdr:from>
        <xdr:to>
          <xdr:col>5</xdr:col>
          <xdr:colOff>0</xdr:colOff>
          <xdr:row>82</xdr:row>
          <xdr:rowOff>28575</xdr:rowOff>
        </xdr:to>
        <xdr:sp macro="" textlink="">
          <xdr:nvSpPr>
            <xdr:cNvPr id="39866" name="Drop Down 954" hidden="1">
              <a:extLst>
                <a:ext uri="{63B3BB69-23CF-44E3-9099-C40C66FF867C}">
                  <a14:compatExt spid="_x0000_s39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81</xdr:row>
          <xdr:rowOff>28575</xdr:rowOff>
        </xdr:from>
        <xdr:to>
          <xdr:col>6</xdr:col>
          <xdr:colOff>0</xdr:colOff>
          <xdr:row>82</xdr:row>
          <xdr:rowOff>28575</xdr:rowOff>
        </xdr:to>
        <xdr:sp macro="" textlink="">
          <xdr:nvSpPr>
            <xdr:cNvPr id="39867" name="Drop Down 955" hidden="1">
              <a:extLst>
                <a:ext uri="{63B3BB69-23CF-44E3-9099-C40C66FF867C}">
                  <a14:compatExt spid="_x0000_s39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81</xdr:row>
          <xdr:rowOff>28575</xdr:rowOff>
        </xdr:from>
        <xdr:to>
          <xdr:col>7</xdr:col>
          <xdr:colOff>0</xdr:colOff>
          <xdr:row>82</xdr:row>
          <xdr:rowOff>28575</xdr:rowOff>
        </xdr:to>
        <xdr:sp macro="" textlink="">
          <xdr:nvSpPr>
            <xdr:cNvPr id="39868" name="Drop Down 956" hidden="1">
              <a:extLst>
                <a:ext uri="{63B3BB69-23CF-44E3-9099-C40C66FF867C}">
                  <a14:compatExt spid="_x0000_s39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81</xdr:row>
          <xdr:rowOff>28575</xdr:rowOff>
        </xdr:from>
        <xdr:to>
          <xdr:col>8</xdr:col>
          <xdr:colOff>0</xdr:colOff>
          <xdr:row>82</xdr:row>
          <xdr:rowOff>28575</xdr:rowOff>
        </xdr:to>
        <xdr:sp macro="" textlink="">
          <xdr:nvSpPr>
            <xdr:cNvPr id="39870" name="Drop Down 958" hidden="1">
              <a:extLst>
                <a:ext uri="{63B3BB69-23CF-44E3-9099-C40C66FF867C}">
                  <a14:compatExt spid="_x0000_s39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81</xdr:row>
          <xdr:rowOff>28575</xdr:rowOff>
        </xdr:from>
        <xdr:to>
          <xdr:col>9</xdr:col>
          <xdr:colOff>0</xdr:colOff>
          <xdr:row>82</xdr:row>
          <xdr:rowOff>28575</xdr:rowOff>
        </xdr:to>
        <xdr:sp macro="" textlink="">
          <xdr:nvSpPr>
            <xdr:cNvPr id="39871" name="Drop Down 959" hidden="1">
              <a:extLst>
                <a:ext uri="{63B3BB69-23CF-44E3-9099-C40C66FF867C}">
                  <a14:compatExt spid="_x0000_s39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81</xdr:row>
          <xdr:rowOff>28575</xdr:rowOff>
        </xdr:from>
        <xdr:to>
          <xdr:col>10</xdr:col>
          <xdr:colOff>0</xdr:colOff>
          <xdr:row>82</xdr:row>
          <xdr:rowOff>28575</xdr:rowOff>
        </xdr:to>
        <xdr:sp macro="" textlink="">
          <xdr:nvSpPr>
            <xdr:cNvPr id="39873" name="Drop Down 961" hidden="1">
              <a:extLst>
                <a:ext uri="{63B3BB69-23CF-44E3-9099-C40C66FF867C}">
                  <a14:compatExt spid="_x0000_s3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81</xdr:row>
          <xdr:rowOff>28575</xdr:rowOff>
        </xdr:from>
        <xdr:to>
          <xdr:col>11</xdr:col>
          <xdr:colOff>0</xdr:colOff>
          <xdr:row>82</xdr:row>
          <xdr:rowOff>28575</xdr:rowOff>
        </xdr:to>
        <xdr:sp macro="" textlink="">
          <xdr:nvSpPr>
            <xdr:cNvPr id="39874" name="Drop Down 962" hidden="1">
              <a:extLst>
                <a:ext uri="{63B3BB69-23CF-44E3-9099-C40C66FF867C}">
                  <a14:compatExt spid="_x0000_s3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81</xdr:row>
          <xdr:rowOff>28575</xdr:rowOff>
        </xdr:from>
        <xdr:to>
          <xdr:col>12</xdr:col>
          <xdr:colOff>0</xdr:colOff>
          <xdr:row>82</xdr:row>
          <xdr:rowOff>28575</xdr:rowOff>
        </xdr:to>
        <xdr:sp macro="" textlink="">
          <xdr:nvSpPr>
            <xdr:cNvPr id="39876" name="Drop Down 964" hidden="1">
              <a:extLst>
                <a:ext uri="{63B3BB69-23CF-44E3-9099-C40C66FF867C}">
                  <a14:compatExt spid="_x0000_s39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558249</xdr:colOff>
      <xdr:row>0</xdr:row>
      <xdr:rowOff>0</xdr:rowOff>
    </xdr:from>
    <xdr:to>
      <xdr:col>22</xdr:col>
      <xdr:colOff>89450</xdr:colOff>
      <xdr:row>73</xdr:row>
      <xdr:rowOff>59691</xdr:rowOff>
    </xdr:to>
    <xdr:grpSp>
      <xdr:nvGrpSpPr>
        <xdr:cNvPr id="6" name="Group 5"/>
        <xdr:cNvGrpSpPr/>
      </xdr:nvGrpSpPr>
      <xdr:grpSpPr>
        <a:xfrm>
          <a:off x="10609925" y="0"/>
          <a:ext cx="3094672" cy="11993956"/>
          <a:chOff x="7780684" y="33131"/>
          <a:chExt cx="3076158" cy="2751539"/>
        </a:xfrm>
      </xdr:grpSpPr>
      <xdr:pic>
        <xdr:nvPicPr>
          <xdr:cNvPr id="75" name="Picture 74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200000">
            <a:off x="8339943" y="215992"/>
            <a:ext cx="2268848" cy="2151601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sp macro="" textlink="">
        <xdr:nvSpPr>
          <xdr:cNvPr id="4" name="TextBox 3"/>
          <xdr:cNvSpPr txBox="1"/>
        </xdr:nvSpPr>
        <xdr:spPr>
          <a:xfrm>
            <a:off x="9483588" y="33131"/>
            <a:ext cx="74289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Away-Tail</a:t>
            </a:r>
          </a:p>
        </xdr:txBody>
      </xdr:sp>
      <xdr:sp macro="" textlink="">
        <xdr:nvSpPr>
          <xdr:cNvPr id="77" name="TextBox 76"/>
          <xdr:cNvSpPr txBox="1"/>
        </xdr:nvSpPr>
        <xdr:spPr>
          <a:xfrm>
            <a:off x="7780684" y="417445"/>
            <a:ext cx="7144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Right Tail</a:t>
            </a:r>
          </a:p>
        </xdr:txBody>
      </xdr:sp>
      <xdr:sp macro="" textlink="">
        <xdr:nvSpPr>
          <xdr:cNvPr id="78" name="TextBox 77"/>
          <xdr:cNvSpPr txBox="1"/>
        </xdr:nvSpPr>
        <xdr:spPr>
          <a:xfrm>
            <a:off x="10103127" y="718931"/>
            <a:ext cx="63741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Left Tail</a:t>
            </a:r>
          </a:p>
        </xdr:txBody>
      </xdr:sp>
      <xdr:sp macro="" textlink="">
        <xdr:nvSpPr>
          <xdr:cNvPr id="5" name="Down Arrow 4"/>
          <xdr:cNvSpPr/>
        </xdr:nvSpPr>
        <xdr:spPr bwMode="auto">
          <a:xfrm>
            <a:off x="9392478" y="2451652"/>
            <a:ext cx="107674" cy="331304"/>
          </a:xfrm>
          <a:prstGeom prst="downArrow">
            <a:avLst/>
          </a:prstGeom>
          <a:solidFill>
            <a:srgbClr val="FF0000"/>
          </a:solidFill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 type="none" w="med" len="med"/>
            <a:tailEnd type="none" w="med" len="med"/>
          </a:ln>
          <a:effectLst/>
          <a:extLst/>
        </xdr:spPr>
        <xdr:txBody>
          <a:bodyPr vertOverflow="clip" horzOverflow="clip" wrap="square" lIns="18288" tIns="0" rIns="0" bIns="0" rtlCol="0" anchor="t" upright="1"/>
          <a:lstStyle/>
          <a:p>
            <a:pPr algn="l"/>
            <a:endParaRPr lang="en-US" sz="1100"/>
          </a:p>
        </xdr:txBody>
      </xdr:sp>
      <xdr:sp macro="" textlink="">
        <xdr:nvSpPr>
          <xdr:cNvPr id="81" name="Text Box 203"/>
          <xdr:cNvSpPr txBox="1">
            <a:spLocks noChangeArrowheads="1"/>
          </xdr:cNvSpPr>
        </xdr:nvSpPr>
        <xdr:spPr bwMode="auto">
          <a:xfrm>
            <a:off x="9599545" y="1971260"/>
            <a:ext cx="447259" cy="3755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Ram</a:t>
            </a:r>
            <a:endParaRPr lang="en-US">
              <a:solidFill>
                <a:schemeClr val="bg1"/>
              </a:solidFill>
            </a:endParaRPr>
          </a:p>
        </xdr:txBody>
      </xdr:sp>
      <xdr:sp macro="" textlink="">
        <xdr:nvSpPr>
          <xdr:cNvPr id="82" name="Text Box 202"/>
          <xdr:cNvSpPr txBox="1">
            <a:spLocks noChangeArrowheads="1"/>
          </xdr:cNvSpPr>
        </xdr:nvSpPr>
        <xdr:spPr bwMode="auto">
          <a:xfrm>
            <a:off x="8887240" y="2559325"/>
            <a:ext cx="552073" cy="22534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Nadir</a:t>
            </a:r>
            <a:endParaRPr lang="en-US"/>
          </a:p>
        </xdr:txBody>
      </xdr:sp>
      <xdr:sp macro="" textlink="">
        <xdr:nvSpPr>
          <xdr:cNvPr id="83" name="Text Box 203"/>
          <xdr:cNvSpPr txBox="1">
            <a:spLocks noChangeArrowheads="1"/>
          </xdr:cNvSpPr>
        </xdr:nvSpPr>
        <xdr:spPr bwMode="auto">
          <a:xfrm>
            <a:off x="8203098" y="1709530"/>
            <a:ext cx="447259" cy="3755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ysClr val="windowText" lastClr="000000"/>
                </a:solidFill>
                <a:latin typeface="Arial"/>
                <a:cs typeface="Arial"/>
              </a:rPr>
              <a:t>Right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84" name="Text Box 203"/>
          <xdr:cNvSpPr txBox="1">
            <a:spLocks noChangeArrowheads="1"/>
          </xdr:cNvSpPr>
        </xdr:nvSpPr>
        <xdr:spPr bwMode="auto">
          <a:xfrm>
            <a:off x="10409583" y="1704559"/>
            <a:ext cx="447259" cy="3755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ysClr val="windowText" lastClr="000000"/>
                </a:solidFill>
                <a:latin typeface="Arial"/>
                <a:cs typeface="Arial"/>
              </a:rPr>
              <a:t>Left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6</xdr:col>
      <xdr:colOff>153865</xdr:colOff>
      <xdr:row>65</xdr:row>
      <xdr:rowOff>31854</xdr:rowOff>
    </xdr:from>
    <xdr:to>
      <xdr:col>13</xdr:col>
      <xdr:colOff>48411</xdr:colOff>
      <xdr:row>77</xdr:row>
      <xdr:rowOff>240306</xdr:rowOff>
    </xdr:to>
    <xdr:grpSp>
      <xdr:nvGrpSpPr>
        <xdr:cNvPr id="7" name="Group 6"/>
        <xdr:cNvGrpSpPr/>
      </xdr:nvGrpSpPr>
      <xdr:grpSpPr>
        <a:xfrm>
          <a:off x="4468130" y="10509354"/>
          <a:ext cx="3895046" cy="2348776"/>
          <a:chOff x="4493952" y="1232832"/>
          <a:chExt cx="3961493" cy="2403344"/>
        </a:xfrm>
      </xdr:grpSpPr>
      <xdr:grpSp>
        <xdr:nvGrpSpPr>
          <xdr:cNvPr id="2" name="Group 1"/>
          <xdr:cNvGrpSpPr/>
        </xdr:nvGrpSpPr>
        <xdr:grpSpPr>
          <a:xfrm>
            <a:off x="4493952" y="1232832"/>
            <a:ext cx="3961493" cy="2403344"/>
            <a:chOff x="4493952" y="1274247"/>
            <a:chExt cx="3961493" cy="3065953"/>
          </a:xfrm>
        </xdr:grpSpPr>
        <xdr:grpSp>
          <xdr:nvGrpSpPr>
            <xdr:cNvPr id="236" name="image4"/>
            <xdr:cNvGrpSpPr>
              <a:grpSpLocks/>
            </xdr:cNvGrpSpPr>
          </xdr:nvGrpSpPr>
          <xdr:grpSpPr bwMode="auto">
            <a:xfrm>
              <a:off x="4493952" y="1274247"/>
              <a:ext cx="3961493" cy="2845988"/>
              <a:chOff x="439" y="82"/>
              <a:chExt cx="531" cy="297"/>
            </a:xfrm>
          </xdr:grpSpPr>
          <xdr:pic>
            <xdr:nvPicPr>
              <xdr:cNvPr id="237" name="Picture 188" descr="square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8968" t="8974" r="8949" b="8951"/>
              <a:stretch>
                <a:fillRect/>
              </a:stretch>
            </xdr:blipFill>
            <xdr:spPr bwMode="auto">
              <a:xfrm>
                <a:off x="473" y="115"/>
                <a:ext cx="401" cy="26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  <xdr:sp macro="" textlink="">
            <xdr:nvSpPr>
              <xdr:cNvPr id="238" name="Line 189"/>
              <xdr:cNvSpPr>
                <a:spLocks noChangeShapeType="1"/>
              </xdr:cNvSpPr>
            </xdr:nvSpPr>
            <xdr:spPr bwMode="auto">
              <a:xfrm flipH="1">
                <a:off x="469" y="242"/>
                <a:ext cx="207" cy="7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39" name="Line 190"/>
              <xdr:cNvSpPr>
                <a:spLocks noChangeShapeType="1"/>
              </xdr:cNvSpPr>
            </xdr:nvSpPr>
            <xdr:spPr bwMode="auto">
              <a:xfrm>
                <a:off x="675" y="243"/>
                <a:ext cx="199" cy="2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40" name="Line 191"/>
              <xdr:cNvSpPr>
                <a:spLocks noChangeShapeType="1"/>
              </xdr:cNvSpPr>
            </xdr:nvSpPr>
            <xdr:spPr bwMode="auto">
              <a:xfrm flipV="1">
                <a:off x="675" y="100"/>
                <a:ext cx="0" cy="14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41" name="Text Box 192"/>
              <xdr:cNvSpPr txBox="1">
                <a:spLocks noChangeArrowheads="1"/>
              </xdr:cNvSpPr>
            </xdr:nvSpPr>
            <xdr:spPr bwMode="auto">
              <a:xfrm>
                <a:off x="447" y="316"/>
                <a:ext cx="43" cy="6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00CC9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wrap="none" lIns="91440" tIns="45720" rIns="91440" bIns="45720" anchor="t" upright="1">
                <a:spAutoFit/>
              </a:bodyPr>
              <a:lstStyle/>
              <a:p>
                <a:pPr algn="l" rtl="0">
                  <a:lnSpc>
                    <a:spcPts val="2600"/>
                  </a:lnSpc>
                  <a:defRPr sz="1000"/>
                </a:pPr>
                <a:r>
                  <a:rPr lang="en-US" sz="24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X</a:t>
                </a:r>
              </a:p>
              <a:p>
                <a:pPr algn="l" rtl="0">
                  <a:defRPr sz="1000"/>
                </a:pPr>
                <a:endParaRPr lang="en-US"/>
              </a:p>
            </xdr:txBody>
          </xdr:sp>
          <xdr:sp macro="" textlink="">
            <xdr:nvSpPr>
              <xdr:cNvPr id="242" name="Text Box 193"/>
              <xdr:cNvSpPr txBox="1">
                <a:spLocks noChangeArrowheads="1"/>
              </xdr:cNvSpPr>
            </xdr:nvSpPr>
            <xdr:spPr bwMode="auto">
              <a:xfrm>
                <a:off x="692" y="82"/>
                <a:ext cx="39" cy="6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00CC9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wrap="none" lIns="91440" tIns="45720" rIns="91440" bIns="45720" anchor="t" upright="1">
                <a:spAutoFit/>
              </a:bodyPr>
              <a:lstStyle/>
              <a:p>
                <a:pPr algn="l" rtl="0">
                  <a:lnSpc>
                    <a:spcPts val="2600"/>
                  </a:lnSpc>
                  <a:defRPr sz="1000"/>
                </a:pPr>
                <a:r>
                  <a:rPr lang="en-US" sz="24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Z</a:t>
                </a:r>
              </a:p>
              <a:p>
                <a:pPr algn="l" rtl="0">
                  <a:defRPr sz="1000"/>
                </a:pPr>
                <a:endParaRPr lang="en-US"/>
              </a:p>
            </xdr:txBody>
          </xdr:sp>
          <xdr:sp macro="" textlink="">
            <xdr:nvSpPr>
              <xdr:cNvPr id="243" name="Text Box 194"/>
              <xdr:cNvSpPr txBox="1">
                <a:spLocks noChangeArrowheads="1"/>
              </xdr:cNvSpPr>
            </xdr:nvSpPr>
            <xdr:spPr bwMode="auto">
              <a:xfrm>
                <a:off x="856" y="261"/>
                <a:ext cx="43" cy="6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00CC9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wrap="none" lIns="91440" tIns="45720" rIns="91440" bIns="45720" anchor="t" upright="1">
                <a:spAutoFit/>
              </a:bodyPr>
              <a:lstStyle/>
              <a:p>
                <a:pPr algn="l" rtl="0">
                  <a:lnSpc>
                    <a:spcPts val="2600"/>
                  </a:lnSpc>
                  <a:defRPr sz="1000"/>
                </a:pPr>
                <a:r>
                  <a:rPr lang="en-US" sz="240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Y</a:t>
                </a:r>
              </a:p>
              <a:p>
                <a:pPr algn="l" rtl="0">
                  <a:defRPr sz="1000"/>
                </a:pPr>
                <a:endParaRPr lang="en-US"/>
              </a:p>
            </xdr:txBody>
          </xdr:sp>
          <xdr:sp macro="" textlink="">
            <xdr:nvSpPr>
              <xdr:cNvPr id="244" name="Oval 195"/>
              <xdr:cNvSpPr>
                <a:spLocks noChangeArrowheads="1"/>
              </xdr:cNvSpPr>
            </xdr:nvSpPr>
            <xdr:spPr bwMode="auto">
              <a:xfrm>
                <a:off x="601" y="263"/>
                <a:ext cx="5" cy="8"/>
              </a:xfrm>
              <a:prstGeom prst="ellipse">
                <a:avLst/>
              </a:prstGeom>
              <a:solidFill>
                <a:srgbClr val="000000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45" name="Oval 196"/>
              <xdr:cNvSpPr>
                <a:spLocks noChangeArrowheads="1"/>
              </xdr:cNvSpPr>
            </xdr:nvSpPr>
            <xdr:spPr bwMode="auto">
              <a:xfrm>
                <a:off x="800" y="255"/>
                <a:ext cx="5" cy="8"/>
              </a:xfrm>
              <a:prstGeom prst="ellipse">
                <a:avLst/>
              </a:prstGeom>
              <a:solidFill>
                <a:srgbClr val="000000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46" name="Oval 197"/>
              <xdr:cNvSpPr>
                <a:spLocks noChangeArrowheads="1"/>
              </xdr:cNvSpPr>
            </xdr:nvSpPr>
            <xdr:spPr bwMode="auto">
              <a:xfrm>
                <a:off x="670" y="145"/>
                <a:ext cx="10" cy="4"/>
              </a:xfrm>
              <a:prstGeom prst="ellipse">
                <a:avLst/>
              </a:prstGeom>
              <a:solidFill>
                <a:srgbClr val="000000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47" name="Text Box 198"/>
              <xdr:cNvSpPr txBox="1">
                <a:spLocks noChangeArrowheads="1"/>
              </xdr:cNvSpPr>
            </xdr:nvSpPr>
            <xdr:spPr bwMode="auto">
              <a:xfrm>
                <a:off x="592" y="133"/>
                <a:ext cx="109" cy="3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14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Side 1</a:t>
                </a:r>
                <a:endParaRPr lang="en-US"/>
              </a:p>
            </xdr:txBody>
          </xdr:sp>
          <xdr:sp macro="" textlink="">
            <xdr:nvSpPr>
              <xdr:cNvPr id="248" name="Text Box 199"/>
              <xdr:cNvSpPr txBox="1">
                <a:spLocks noChangeArrowheads="1"/>
              </xdr:cNvSpPr>
            </xdr:nvSpPr>
            <xdr:spPr bwMode="auto">
              <a:xfrm>
                <a:off x="798" y="311"/>
                <a:ext cx="172" cy="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1400" b="0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Away or Bottom </a:t>
                </a:r>
                <a:r>
                  <a:rPr lang="en-US" sz="1400" b="0" i="0" u="none" strike="noStrike" baseline="0">
                    <a:solidFill>
                      <a:srgbClr val="0066FF"/>
                    </a:solidFill>
                    <a:latin typeface="Arial"/>
                    <a:cs typeface="Arial"/>
                  </a:rPr>
                  <a:t>Side 2 </a:t>
                </a:r>
                <a:endParaRPr lang="en-US">
                  <a:solidFill>
                    <a:srgbClr val="0066FF"/>
                  </a:solidFill>
                </a:endParaRPr>
              </a:p>
            </xdr:txBody>
          </xdr:sp>
          <xdr:sp macro="" textlink="">
            <xdr:nvSpPr>
              <xdr:cNvPr id="249" name="Text Box 200"/>
              <xdr:cNvSpPr txBox="1">
                <a:spLocks noChangeArrowheads="1"/>
              </xdr:cNvSpPr>
            </xdr:nvSpPr>
            <xdr:spPr bwMode="auto">
              <a:xfrm>
                <a:off x="439" y="130"/>
                <a:ext cx="87" cy="4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14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Side 6</a:t>
                </a:r>
                <a:endParaRPr lang="en-US"/>
              </a:p>
            </xdr:txBody>
          </xdr:sp>
          <xdr:sp macro="" textlink="">
            <xdr:nvSpPr>
              <xdr:cNvPr id="250" name="Text Box 201"/>
              <xdr:cNvSpPr txBox="1">
                <a:spLocks noChangeArrowheads="1"/>
              </xdr:cNvSpPr>
            </xdr:nvSpPr>
            <xdr:spPr bwMode="auto">
              <a:xfrm>
                <a:off x="752" y="97"/>
                <a:ext cx="101" cy="4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14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Side 5</a:t>
                </a:r>
                <a:endParaRPr lang="en-US"/>
              </a:p>
            </xdr:txBody>
          </xdr:sp>
          <xdr:sp macro="" textlink="">
            <xdr:nvSpPr>
              <xdr:cNvPr id="252" name="Text Box 203"/>
              <xdr:cNvSpPr txBox="1">
                <a:spLocks noChangeArrowheads="1"/>
              </xdr:cNvSpPr>
            </xdr:nvSpPr>
            <xdr:spPr bwMode="auto">
              <a:xfrm>
                <a:off x="742" y="270"/>
                <a:ext cx="105" cy="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1400" b="0" i="0" u="none" strike="noStrike" baseline="0">
                    <a:solidFill>
                      <a:schemeClr val="bg1"/>
                    </a:solidFill>
                    <a:latin typeface="Arial"/>
                    <a:cs typeface="Arial"/>
                  </a:rPr>
                  <a:t>Side 4</a:t>
                </a:r>
                <a:endParaRPr lang="en-US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85" name="Text Box 198"/>
              <xdr:cNvSpPr txBox="1">
                <a:spLocks noChangeArrowheads="1"/>
              </xdr:cNvSpPr>
            </xdr:nvSpPr>
            <xdr:spPr bwMode="auto">
              <a:xfrm>
                <a:off x="552" y="294"/>
                <a:ext cx="109" cy="3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xmlns:mc="http://schemas.openxmlformats.org/markup-compatibility/2006" val="FFFFFF" mc:Ignorable="a14" a14:legacySpreadsheetColorIndex="9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xmlns:mc="http://schemas.openxmlformats.org/markup-compatibility/2006"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en-US" sz="14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Side 3</a:t>
                </a:r>
                <a:endParaRPr lang="en-US"/>
              </a:p>
            </xdr:txBody>
          </xdr:sp>
        </xdr:grpSp>
        <xdr:sp macro="" textlink="">
          <xdr:nvSpPr>
            <xdr:cNvPr id="70" name="AutoShape 55"/>
            <xdr:cNvSpPr>
              <a:spLocks noChangeArrowheads="1"/>
            </xdr:cNvSpPr>
          </xdr:nvSpPr>
          <xdr:spPr bwMode="auto">
            <a:xfrm rot="16375150" flipV="1">
              <a:off x="6966524" y="3747394"/>
              <a:ext cx="363902" cy="821709"/>
            </a:xfrm>
            <a:prstGeom prst="curvedRightArrow">
              <a:avLst>
                <a:gd name="adj1" fmla="val 25789"/>
                <a:gd name="adj2" fmla="val 63267"/>
                <a:gd name="adj3" fmla="val 33333"/>
              </a:avLst>
            </a:prstGeom>
            <a:solidFill>
              <a:srgbClr val="FF00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55"/>
            <xdr:cNvSpPr>
              <a:spLocks noChangeArrowheads="1"/>
            </xdr:cNvSpPr>
          </xdr:nvSpPr>
          <xdr:spPr bwMode="auto">
            <a:xfrm rot="7643621" flipV="1">
              <a:off x="7302054" y="1196416"/>
              <a:ext cx="363902" cy="821709"/>
            </a:xfrm>
            <a:prstGeom prst="curvedRightArrow">
              <a:avLst>
                <a:gd name="adj1" fmla="val 25789"/>
                <a:gd name="adj2" fmla="val 63267"/>
                <a:gd name="adj3" fmla="val 33333"/>
              </a:avLst>
            </a:prstGeom>
            <a:solidFill>
              <a:srgbClr val="0066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7" name="Text Box 202"/>
          <xdr:cNvSpPr txBox="1">
            <a:spLocks noChangeArrowheads="1"/>
          </xdr:cNvSpPr>
        </xdr:nvSpPr>
        <xdr:spPr bwMode="auto">
          <a:xfrm>
            <a:off x="6324408" y="1638680"/>
            <a:ext cx="552073" cy="22534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Nadir</a:t>
            </a:r>
            <a:endParaRPr lang="en-US"/>
          </a:p>
        </xdr:txBody>
      </xdr:sp>
      <xdr:sp macro="" textlink="">
        <xdr:nvSpPr>
          <xdr:cNvPr id="88" name="Text Box 202"/>
          <xdr:cNvSpPr txBox="1">
            <a:spLocks noChangeArrowheads="1"/>
          </xdr:cNvSpPr>
        </xdr:nvSpPr>
        <xdr:spPr bwMode="auto">
          <a:xfrm>
            <a:off x="5050867" y="2411989"/>
            <a:ext cx="552073" cy="22534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Ram</a:t>
            </a:r>
            <a:endParaRPr lang="en-US"/>
          </a:p>
        </xdr:txBody>
      </xdr:sp>
    </xdr:grpSp>
    <xdr:clientData/>
  </xdr:twoCellAnchor>
  <xdr:twoCellAnchor editAs="oneCell">
    <xdr:from>
      <xdr:col>11</xdr:col>
      <xdr:colOff>380999</xdr:colOff>
      <xdr:row>59</xdr:row>
      <xdr:rowOff>254000</xdr:rowOff>
    </xdr:from>
    <xdr:to>
      <xdr:col>17</xdr:col>
      <xdr:colOff>229962</xdr:colOff>
      <xdr:row>75</xdr:row>
      <xdr:rowOff>76288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62347" y="254000"/>
          <a:ext cx="3493311" cy="27556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81</xdr:row>
          <xdr:rowOff>28575</xdr:rowOff>
        </xdr:from>
        <xdr:to>
          <xdr:col>10</xdr:col>
          <xdr:colOff>0</xdr:colOff>
          <xdr:row>82</xdr:row>
          <xdr:rowOff>28575</xdr:rowOff>
        </xdr:to>
        <xdr:sp macro="" textlink="">
          <xdr:nvSpPr>
            <xdr:cNvPr id="39880" name="Drop Down 968" hidden="1">
              <a:extLst>
                <a:ext uri="{63B3BB69-23CF-44E3-9099-C40C66FF867C}">
                  <a14:compatExt spid="_x0000_s39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81</xdr:row>
          <xdr:rowOff>28575</xdr:rowOff>
        </xdr:from>
        <xdr:to>
          <xdr:col>11</xdr:col>
          <xdr:colOff>0</xdr:colOff>
          <xdr:row>82</xdr:row>
          <xdr:rowOff>28575</xdr:rowOff>
        </xdr:to>
        <xdr:sp macro="" textlink="">
          <xdr:nvSpPr>
            <xdr:cNvPr id="39881" name="Drop Down 969" hidden="1">
              <a:extLst>
                <a:ext uri="{63B3BB69-23CF-44E3-9099-C40C66FF867C}">
                  <a14:compatExt spid="_x0000_s39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81</xdr:row>
          <xdr:rowOff>28575</xdr:rowOff>
        </xdr:from>
        <xdr:to>
          <xdr:col>12</xdr:col>
          <xdr:colOff>0</xdr:colOff>
          <xdr:row>82</xdr:row>
          <xdr:rowOff>28575</xdr:rowOff>
        </xdr:to>
        <xdr:sp macro="" textlink="">
          <xdr:nvSpPr>
            <xdr:cNvPr id="39882" name="Drop Down 970" hidden="1">
              <a:extLst>
                <a:ext uri="{63B3BB69-23CF-44E3-9099-C40C66FF867C}">
                  <a14:compatExt spid="_x0000_s39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52</xdr:row>
          <xdr:rowOff>0</xdr:rowOff>
        </xdr:from>
        <xdr:to>
          <xdr:col>3</xdr:col>
          <xdr:colOff>581025</xdr:colOff>
          <xdr:row>53</xdr:row>
          <xdr:rowOff>38100</xdr:rowOff>
        </xdr:to>
        <xdr:sp macro="" textlink="">
          <xdr:nvSpPr>
            <xdr:cNvPr id="39939" name="Option Button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63</xdr:row>
          <xdr:rowOff>152400</xdr:rowOff>
        </xdr:from>
        <xdr:to>
          <xdr:col>3</xdr:col>
          <xdr:colOff>609600</xdr:colOff>
          <xdr:row>65</xdr:row>
          <xdr:rowOff>38099</xdr:rowOff>
        </xdr:to>
        <xdr:sp macro="" textlink="">
          <xdr:nvSpPr>
            <xdr:cNvPr id="39940" name="Check Box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Select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55</xdr:row>
          <xdr:rowOff>152400</xdr:rowOff>
        </xdr:from>
        <xdr:to>
          <xdr:col>3</xdr:col>
          <xdr:colOff>581025</xdr:colOff>
          <xdr:row>57</xdr:row>
          <xdr:rowOff>38099</xdr:rowOff>
        </xdr:to>
        <xdr:sp macro="" textlink="">
          <xdr:nvSpPr>
            <xdr:cNvPr id="39941" name="Option Button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59</xdr:row>
          <xdr:rowOff>152400</xdr:rowOff>
        </xdr:from>
        <xdr:to>
          <xdr:col>3</xdr:col>
          <xdr:colOff>581025</xdr:colOff>
          <xdr:row>61</xdr:row>
          <xdr:rowOff>47624</xdr:rowOff>
        </xdr:to>
        <xdr:sp macro="" textlink="">
          <xdr:nvSpPr>
            <xdr:cNvPr id="39942" name="Option Button 6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Select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9525</xdr:colOff>
      <xdr:row>93</xdr:row>
      <xdr:rowOff>104774</xdr:rowOff>
    </xdr:from>
    <xdr:to>
      <xdr:col>8</xdr:col>
      <xdr:colOff>133350</xdr:colOff>
      <xdr:row>116</xdr:row>
      <xdr:rowOff>38099</xdr:rowOff>
    </xdr:to>
    <xdr:graphicFrame macro="">
      <xdr:nvGraphicFramePr>
        <xdr:cNvPr id="40050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90</xdr:row>
          <xdr:rowOff>28575</xdr:rowOff>
        </xdr:from>
        <xdr:to>
          <xdr:col>2</xdr:col>
          <xdr:colOff>295275</xdr:colOff>
          <xdr:row>93</xdr:row>
          <xdr:rowOff>9525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Lighting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One Orbit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90</xdr:row>
          <xdr:rowOff>9525</xdr:rowOff>
        </xdr:from>
        <xdr:to>
          <xdr:col>11</xdr:col>
          <xdr:colOff>485775</xdr:colOff>
          <xdr:row>93</xdr:row>
          <xdr:rowOff>9525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Lighting Orbital Average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148317</xdr:colOff>
      <xdr:row>93</xdr:row>
      <xdr:rowOff>99331</xdr:rowOff>
    </xdr:from>
    <xdr:to>
      <xdr:col>16</xdr:col>
      <xdr:colOff>1569036</xdr:colOff>
      <xdr:row>116</xdr:row>
      <xdr:rowOff>32656</xdr:rowOff>
    </xdr:to>
    <xdr:graphicFrame macro="">
      <xdr:nvGraphicFramePr>
        <xdr:cNvPr id="40051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117</xdr:row>
          <xdr:rowOff>28575</xdr:rowOff>
        </xdr:from>
        <xdr:to>
          <xdr:col>11</xdr:col>
          <xdr:colOff>238125</xdr:colOff>
          <xdr:row>120</xdr:row>
          <xdr:rowOff>9526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Orbital Average Power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: 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Inputs/Outputs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35</xdr:row>
          <xdr:rowOff>66675</xdr:rowOff>
        </xdr:from>
        <xdr:to>
          <xdr:col>6</xdr:col>
          <xdr:colOff>38100</xdr:colOff>
          <xdr:row>37</xdr:row>
          <xdr:rowOff>76200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35</xdr:row>
          <xdr:rowOff>38100</xdr:rowOff>
        </xdr:from>
        <xdr:to>
          <xdr:col>7</xdr:col>
          <xdr:colOff>381000</xdr:colOff>
          <xdr:row>37</xdr:row>
          <xdr:rowOff>66675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:  </a:t>
              </a: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Inputs/Outputs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228600</xdr:colOff>
      <xdr:row>52</xdr:row>
      <xdr:rowOff>120707</xdr:rowOff>
    </xdr:from>
    <xdr:to>
      <xdr:col>16</xdr:col>
      <xdr:colOff>286050</xdr:colOff>
      <xdr:row>69</xdr:row>
      <xdr:rowOff>79572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3368732"/>
          <a:ext cx="5781975" cy="2749690"/>
        </a:xfrm>
        <a:prstGeom prst="rect">
          <a:avLst/>
        </a:prstGeom>
      </xdr:spPr>
    </xdr:pic>
    <xdr:clientData/>
  </xdr:twoCellAnchor>
  <xdr:twoCellAnchor editAs="oneCell">
    <xdr:from>
      <xdr:col>8</xdr:col>
      <xdr:colOff>143062</xdr:colOff>
      <xdr:row>121</xdr:row>
      <xdr:rowOff>29229</xdr:rowOff>
    </xdr:from>
    <xdr:to>
      <xdr:col>16</xdr:col>
      <xdr:colOff>1551081</xdr:colOff>
      <xdr:row>143</xdr:row>
      <xdr:rowOff>121304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1812739</xdr:colOff>
      <xdr:row>122</xdr:row>
      <xdr:rowOff>8219</xdr:rowOff>
    </xdr:from>
    <xdr:to>
      <xdr:col>23</xdr:col>
      <xdr:colOff>202918</xdr:colOff>
      <xdr:row>142</xdr:row>
      <xdr:rowOff>116168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1785497</xdr:colOff>
      <xdr:row>96</xdr:row>
      <xdr:rowOff>25745</xdr:rowOff>
    </xdr:from>
    <xdr:to>
      <xdr:col>24</xdr:col>
      <xdr:colOff>288857</xdr:colOff>
      <xdr:row>113</xdr:row>
      <xdr:rowOff>70196</xdr:rowOff>
    </xdr:to>
    <xdr:graphicFrame macro="">
      <xdr:nvGraphicFramePr>
        <xdr:cNvPr id="31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247650</xdr:colOff>
      <xdr:row>121</xdr:row>
      <xdr:rowOff>12700</xdr:rowOff>
    </xdr:from>
    <xdr:to>
      <xdr:col>8</xdr:col>
      <xdr:colOff>111125</xdr:colOff>
      <xdr:row>143</xdr:row>
      <xdr:rowOff>104776</xdr:rowOff>
    </xdr:to>
    <xdr:graphicFrame macro="">
      <xdr:nvGraphicFramePr>
        <xdr:cNvPr id="1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116</xdr:row>
          <xdr:rowOff>123825</xdr:rowOff>
        </xdr:from>
        <xdr:to>
          <xdr:col>2</xdr:col>
          <xdr:colOff>180975</xdr:colOff>
          <xdr:row>119</xdr:row>
          <xdr:rowOff>114299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Power One Orbit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5791</xdr:colOff>
      <xdr:row>122</xdr:row>
      <xdr:rowOff>13028</xdr:rowOff>
    </xdr:from>
    <xdr:to>
      <xdr:col>35</xdr:col>
      <xdr:colOff>298510</xdr:colOff>
      <xdr:row>142</xdr:row>
      <xdr:rowOff>140806</xdr:rowOff>
    </xdr:to>
    <xdr:graphicFrame macro="">
      <xdr:nvGraphicFramePr>
        <xdr:cNvPr id="20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76200</xdr:rowOff>
        </xdr:from>
        <xdr:to>
          <xdr:col>0</xdr:col>
          <xdr:colOff>1790700</xdr:colOff>
          <xdr:row>5</xdr:row>
          <xdr:rowOff>180975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800100</xdr:colOff>
          <xdr:row>1</xdr:row>
          <xdr:rowOff>47625</xdr:rowOff>
        </xdr:from>
        <xdr:to>
          <xdr:col>2</xdr:col>
          <xdr:colOff>381000</xdr:colOff>
          <xdr:row>5</xdr:row>
          <xdr:rowOff>152400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#Ref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</xdr:row>
          <xdr:rowOff>47625</xdr:rowOff>
        </xdr:from>
        <xdr:to>
          <xdr:col>5</xdr:col>
          <xdr:colOff>47625</xdr:colOff>
          <xdr:row>5</xdr:row>
          <xdr:rowOff>152400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Local to Global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trlProp" Target="../ctrlProps/ctrlProp32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T181"/>
  <sheetViews>
    <sheetView topLeftCell="A58" zoomScale="85" zoomScaleNormal="85" zoomScalePageLayoutView="85" workbookViewId="0">
      <selection activeCell="R131" sqref="R131"/>
    </sheetView>
  </sheetViews>
  <sheetFormatPr defaultColWidth="8.85546875" defaultRowHeight="12.75"/>
  <cols>
    <col min="1" max="1" width="2" customWidth="1"/>
    <col min="2" max="2" width="3.140625" customWidth="1"/>
    <col min="3" max="3" width="33.85546875" customWidth="1"/>
    <col min="4" max="15" width="8.5703125" customWidth="1"/>
  </cols>
  <sheetData>
    <row r="1" spans="1:20">
      <c r="A1" s="54"/>
      <c r="B1" s="54"/>
      <c r="C1" s="60"/>
      <c r="D1" s="54"/>
      <c r="E1" s="69"/>
      <c r="F1" s="98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55"/>
    </row>
    <row r="2" spans="1:20">
      <c r="A2" s="54"/>
      <c r="B2" s="54"/>
      <c r="C2" s="60"/>
      <c r="D2" s="54"/>
      <c r="E2" s="69"/>
      <c r="F2" s="98" t="s">
        <v>74</v>
      </c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55"/>
    </row>
    <row r="3" spans="1:20">
      <c r="A3" s="54"/>
      <c r="B3" s="54"/>
      <c r="C3" s="60"/>
      <c r="D3" s="54"/>
      <c r="E3" s="69"/>
      <c r="F3" s="98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55"/>
    </row>
    <row r="4" spans="1:20">
      <c r="A4" s="54"/>
      <c r="B4" s="54"/>
      <c r="C4" s="60"/>
      <c r="D4" s="54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55"/>
    </row>
    <row r="5" spans="1:20" ht="13.5" thickBot="1">
      <c r="A5" s="57"/>
      <c r="B5" s="57"/>
      <c r="C5" s="54"/>
      <c r="D5" s="24"/>
      <c r="E5" s="69"/>
      <c r="F5" s="98" t="s">
        <v>77</v>
      </c>
      <c r="G5" s="101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55"/>
    </row>
    <row r="6" spans="1:20">
      <c r="A6" s="57"/>
      <c r="B6" s="57"/>
      <c r="C6" s="54"/>
      <c r="D6" s="58"/>
      <c r="E6" s="275"/>
      <c r="F6" s="27" t="s">
        <v>220</v>
      </c>
      <c r="G6" s="173"/>
      <c r="H6" s="471" t="s">
        <v>163</v>
      </c>
      <c r="I6" s="472"/>
      <c r="J6" s="472"/>
      <c r="K6" s="472"/>
      <c r="L6" s="472"/>
      <c r="M6" s="472"/>
      <c r="N6" s="472"/>
      <c r="O6" s="472"/>
      <c r="P6" s="472"/>
      <c r="Q6" s="472"/>
      <c r="R6" s="472"/>
      <c r="S6" s="473"/>
      <c r="T6" s="55"/>
    </row>
    <row r="7" spans="1:20">
      <c r="A7" s="57"/>
      <c r="B7" s="57"/>
      <c r="C7" s="54"/>
      <c r="D7" s="24"/>
      <c r="E7" s="275"/>
      <c r="F7" s="304" t="s">
        <v>111</v>
      </c>
      <c r="G7" s="216" t="s">
        <v>109</v>
      </c>
      <c r="H7" s="33">
        <v>1</v>
      </c>
      <c r="I7" s="33">
        <v>2</v>
      </c>
      <c r="J7" s="33">
        <v>3</v>
      </c>
      <c r="K7" s="33">
        <v>4</v>
      </c>
      <c r="L7" s="33">
        <v>5</v>
      </c>
      <c r="M7" s="33">
        <v>6</v>
      </c>
      <c r="N7" s="33">
        <v>7</v>
      </c>
      <c r="O7" s="33">
        <v>8</v>
      </c>
      <c r="P7" s="33">
        <v>9</v>
      </c>
      <c r="Q7" s="33">
        <v>10</v>
      </c>
      <c r="R7" s="33">
        <v>11</v>
      </c>
      <c r="S7" s="34">
        <v>12</v>
      </c>
      <c r="T7" s="55"/>
    </row>
    <row r="8" spans="1:20">
      <c r="A8" s="57"/>
      <c r="B8" s="57"/>
      <c r="C8" s="54"/>
      <c r="D8" s="58"/>
      <c r="E8" s="275"/>
      <c r="F8" s="305" t="s">
        <v>221</v>
      </c>
      <c r="G8" s="206" t="s">
        <v>202</v>
      </c>
      <c r="H8" s="281" t="str">
        <f>IF(ISBLANK(E141),E97,E141)</f>
        <v>Nadir</v>
      </c>
      <c r="I8" s="281" t="str">
        <f t="shared" ref="I8:I25" si="0">IF(ISBLANK(F141),F97,F141)</f>
        <v>Away</v>
      </c>
      <c r="J8" s="281" t="str">
        <f t="shared" ref="J8:J25" si="1">IF(ISBLANK(G141),G97,G141)</f>
        <v>Ram</v>
      </c>
      <c r="K8" s="281" t="str">
        <f t="shared" ref="K8:K25" si="2">IF(ISBLANK(H141),H97,H141)</f>
        <v>Left</v>
      </c>
      <c r="L8" s="281" t="str">
        <f t="shared" ref="L8:L25" si="3">IF(ISBLANK(I141),I97,I141)</f>
        <v>Tail</v>
      </c>
      <c r="M8" s="281" t="str">
        <f t="shared" ref="M8:M25" si="4">IF(ISBLANK(J141),J97,J141)</f>
        <v>Right</v>
      </c>
      <c r="N8" s="281" t="str">
        <f t="shared" ref="N8:N25" si="5">IF(ISBLANK(K141),K97,K141)</f>
        <v>Side 5</v>
      </c>
      <c r="O8" s="281" t="str">
        <f t="shared" ref="O8:O25" si="6">IF(ISBLANK(L141),L97,L141)</f>
        <v>Side 6</v>
      </c>
      <c r="P8" s="130" t="str">
        <f t="shared" ref="P8:P25" si="7">IF(ISBLANK(M141),M97,M141)</f>
        <v>Side 7</v>
      </c>
      <c r="Q8" s="281" t="str">
        <f t="shared" ref="Q8:Q25" si="8">IF(ISBLANK(N141),N97,N141)</f>
        <v>Side 8</v>
      </c>
      <c r="R8" s="130" t="str">
        <f t="shared" ref="R8:R25" si="9">IF(ISBLANK(O141),O97,O141)</f>
        <v>Side 9</v>
      </c>
      <c r="S8" s="282" t="str">
        <f t="shared" ref="S8:S25" si="10">IF(ISBLANK(P141),P97,P141)</f>
        <v>Side 10</v>
      </c>
      <c r="T8" s="55"/>
    </row>
    <row r="9" spans="1:20">
      <c r="A9" s="57"/>
      <c r="B9" s="57"/>
      <c r="C9" s="54"/>
      <c r="D9" s="24"/>
      <c r="E9" s="275"/>
      <c r="F9" s="305" t="s">
        <v>167</v>
      </c>
      <c r="G9" s="56" t="s">
        <v>36</v>
      </c>
      <c r="H9" s="125" t="b">
        <f t="shared" ref="H9:H25" si="11">IF(ISBLANK(E142),E98,E142)</f>
        <v>1</v>
      </c>
      <c r="I9" s="125" t="b">
        <f t="shared" si="0"/>
        <v>1</v>
      </c>
      <c r="J9" s="125" t="b">
        <f t="shared" si="1"/>
        <v>1</v>
      </c>
      <c r="K9" s="125" t="b">
        <f t="shared" si="2"/>
        <v>1</v>
      </c>
      <c r="L9" s="125" t="b">
        <f t="shared" si="3"/>
        <v>1</v>
      </c>
      <c r="M9" s="125" t="b">
        <f t="shared" si="4"/>
        <v>1</v>
      </c>
      <c r="N9" s="125" t="b">
        <f t="shared" si="5"/>
        <v>0</v>
      </c>
      <c r="O9" s="125" t="b">
        <f t="shared" si="6"/>
        <v>0</v>
      </c>
      <c r="P9" s="130" t="b">
        <f t="shared" si="7"/>
        <v>0</v>
      </c>
      <c r="Q9" s="125" t="b">
        <f t="shared" si="8"/>
        <v>0</v>
      </c>
      <c r="R9" s="130" t="b">
        <f t="shared" si="9"/>
        <v>0</v>
      </c>
      <c r="S9" s="126" t="b">
        <f t="shared" si="10"/>
        <v>0</v>
      </c>
      <c r="T9" s="55"/>
    </row>
    <row r="10" spans="1:20" ht="14.25">
      <c r="A10" s="57"/>
      <c r="B10" s="57"/>
      <c r="C10" s="54"/>
      <c r="D10" s="24"/>
      <c r="E10" s="275"/>
      <c r="F10" s="305" t="s">
        <v>164</v>
      </c>
      <c r="G10" s="56" t="s">
        <v>0</v>
      </c>
      <c r="H10" s="124">
        <f t="shared" si="11"/>
        <v>100</v>
      </c>
      <c r="I10" s="120">
        <f t="shared" si="0"/>
        <v>100</v>
      </c>
      <c r="J10" s="120">
        <f t="shared" si="1"/>
        <v>100</v>
      </c>
      <c r="K10" s="120">
        <f t="shared" si="2"/>
        <v>100</v>
      </c>
      <c r="L10" s="120">
        <f t="shared" si="3"/>
        <v>100</v>
      </c>
      <c r="M10" s="120">
        <f t="shared" si="4"/>
        <v>100</v>
      </c>
      <c r="N10" s="120" t="str">
        <f t="shared" si="5"/>
        <v/>
      </c>
      <c r="O10" s="120" t="str">
        <f t="shared" si="6"/>
        <v/>
      </c>
      <c r="P10" s="276" t="str">
        <f t="shared" si="7"/>
        <v/>
      </c>
      <c r="Q10" s="120" t="str">
        <f t="shared" si="8"/>
        <v/>
      </c>
      <c r="R10" s="276" t="str">
        <f t="shared" si="9"/>
        <v/>
      </c>
      <c r="S10" s="121" t="str">
        <f t="shared" si="10"/>
        <v/>
      </c>
      <c r="T10" s="55"/>
    </row>
    <row r="11" spans="1:20">
      <c r="A11" s="57"/>
      <c r="B11" s="57"/>
      <c r="C11" s="54"/>
      <c r="D11" s="59"/>
      <c r="E11" s="69"/>
      <c r="F11" s="306" t="s">
        <v>222</v>
      </c>
      <c r="G11" s="71" t="s">
        <v>159</v>
      </c>
      <c r="H11" s="283">
        <f t="shared" si="11"/>
        <v>0</v>
      </c>
      <c r="I11" s="283">
        <f t="shared" si="0"/>
        <v>0</v>
      </c>
      <c r="J11" s="283">
        <f t="shared" si="1"/>
        <v>0</v>
      </c>
      <c r="K11" s="283">
        <f t="shared" si="2"/>
        <v>0</v>
      </c>
      <c r="L11" s="283">
        <f t="shared" si="3"/>
        <v>0</v>
      </c>
      <c r="M11" s="283">
        <f t="shared" si="4"/>
        <v>0</v>
      </c>
      <c r="N11" s="283" t="str">
        <f t="shared" si="5"/>
        <v/>
      </c>
      <c r="O11" s="283" t="str">
        <f t="shared" si="6"/>
        <v/>
      </c>
      <c r="P11" s="283" t="str">
        <f t="shared" si="7"/>
        <v/>
      </c>
      <c r="Q11" s="283" t="str">
        <f t="shared" si="8"/>
        <v/>
      </c>
      <c r="R11" s="283" t="str">
        <f t="shared" si="9"/>
        <v/>
      </c>
      <c r="S11" s="284" t="str">
        <f t="shared" si="10"/>
        <v/>
      </c>
      <c r="T11" s="55"/>
    </row>
    <row r="12" spans="1:20">
      <c r="A12" s="57"/>
      <c r="B12" s="57"/>
      <c r="C12" s="54"/>
      <c r="D12" s="24"/>
      <c r="E12" s="69"/>
      <c r="F12" s="305" t="s">
        <v>223</v>
      </c>
      <c r="G12" s="72" t="s">
        <v>159</v>
      </c>
      <c r="H12" s="124">
        <f t="shared" si="11"/>
        <v>0</v>
      </c>
      <c r="I12" s="124">
        <f t="shared" si="0"/>
        <v>0</v>
      </c>
      <c r="J12" s="124">
        <f t="shared" si="1"/>
        <v>90.000000000292403</v>
      </c>
      <c r="K12" s="124">
        <f t="shared" si="2"/>
        <v>90.000000000292403</v>
      </c>
      <c r="L12" s="124">
        <f t="shared" si="3"/>
        <v>90.000000000292403</v>
      </c>
      <c r="M12" s="124">
        <f t="shared" si="4"/>
        <v>90.000000000292403</v>
      </c>
      <c r="N12" s="124" t="str">
        <f t="shared" si="5"/>
        <v/>
      </c>
      <c r="O12" s="124" t="str">
        <f t="shared" si="6"/>
        <v/>
      </c>
      <c r="P12" s="124" t="str">
        <f t="shared" si="7"/>
        <v/>
      </c>
      <c r="Q12" s="124" t="str">
        <f t="shared" si="8"/>
        <v/>
      </c>
      <c r="R12" s="124" t="str">
        <f t="shared" si="9"/>
        <v/>
      </c>
      <c r="S12" s="129" t="str">
        <f t="shared" si="10"/>
        <v/>
      </c>
      <c r="T12" s="55"/>
    </row>
    <row r="13" spans="1:20">
      <c r="A13" s="57"/>
      <c r="B13" s="57"/>
      <c r="C13" s="57"/>
      <c r="D13" s="60"/>
      <c r="E13" s="69"/>
      <c r="F13" s="307" t="s">
        <v>224</v>
      </c>
      <c r="G13" s="73" t="s">
        <v>159</v>
      </c>
      <c r="H13" s="285">
        <f t="shared" si="11"/>
        <v>0</v>
      </c>
      <c r="I13" s="285">
        <f t="shared" si="0"/>
        <v>180.00000000001185</v>
      </c>
      <c r="J13" s="285">
        <f t="shared" si="1"/>
        <v>-180.00000000001185</v>
      </c>
      <c r="K13" s="285">
        <f t="shared" si="2"/>
        <v>-90.000000000005926</v>
      </c>
      <c r="L13" s="285">
        <f t="shared" si="3"/>
        <v>0</v>
      </c>
      <c r="M13" s="285">
        <f t="shared" si="4"/>
        <v>90.000000000005926</v>
      </c>
      <c r="N13" s="285" t="str">
        <f t="shared" si="5"/>
        <v/>
      </c>
      <c r="O13" s="124" t="str">
        <f t="shared" si="6"/>
        <v/>
      </c>
      <c r="P13" s="124" t="str">
        <f t="shared" si="7"/>
        <v/>
      </c>
      <c r="Q13" s="124" t="str">
        <f t="shared" si="8"/>
        <v/>
      </c>
      <c r="R13" s="124" t="str">
        <f t="shared" si="9"/>
        <v/>
      </c>
      <c r="S13" s="129" t="str">
        <f t="shared" si="10"/>
        <v/>
      </c>
      <c r="T13" s="55"/>
    </row>
    <row r="14" spans="1:20">
      <c r="A14" s="57"/>
      <c r="B14" s="57"/>
      <c r="C14" s="57"/>
      <c r="D14" s="62"/>
      <c r="E14" s="275"/>
      <c r="F14" s="306" t="s">
        <v>226</v>
      </c>
      <c r="G14" s="71" t="s">
        <v>37</v>
      </c>
      <c r="H14" s="286">
        <f t="shared" si="11"/>
        <v>0</v>
      </c>
      <c r="I14" s="286">
        <f t="shared" si="0"/>
        <v>0</v>
      </c>
      <c r="J14" s="286">
        <f t="shared" si="1"/>
        <v>5</v>
      </c>
      <c r="K14" s="286">
        <f t="shared" si="2"/>
        <v>-5</v>
      </c>
      <c r="L14" s="286">
        <f t="shared" si="3"/>
        <v>5</v>
      </c>
      <c r="M14" s="286">
        <f t="shared" si="4"/>
        <v>-5</v>
      </c>
      <c r="N14" s="286">
        <f t="shared" si="5"/>
        <v>0</v>
      </c>
      <c r="O14" s="286">
        <f t="shared" si="6"/>
        <v>0</v>
      </c>
      <c r="P14" s="287">
        <f t="shared" si="7"/>
        <v>0</v>
      </c>
      <c r="Q14" s="286">
        <f t="shared" si="8"/>
        <v>0</v>
      </c>
      <c r="R14" s="287">
        <f t="shared" si="9"/>
        <v>0</v>
      </c>
      <c r="S14" s="288">
        <f t="shared" si="10"/>
        <v>0</v>
      </c>
      <c r="T14" s="55"/>
    </row>
    <row r="15" spans="1:20">
      <c r="A15" s="57"/>
      <c r="B15" s="57"/>
      <c r="C15" s="57"/>
      <c r="D15" s="63"/>
      <c r="E15" s="275"/>
      <c r="F15" s="305" t="s">
        <v>227</v>
      </c>
      <c r="G15" s="56" t="s">
        <v>37</v>
      </c>
      <c r="H15" s="127">
        <f t="shared" si="11"/>
        <v>0</v>
      </c>
      <c r="I15" s="127">
        <f t="shared" si="0"/>
        <v>0</v>
      </c>
      <c r="J15" s="127">
        <f t="shared" si="1"/>
        <v>0</v>
      </c>
      <c r="K15" s="127">
        <f t="shared" si="2"/>
        <v>0</v>
      </c>
      <c r="L15" s="127">
        <f t="shared" si="3"/>
        <v>0</v>
      </c>
      <c r="M15" s="127">
        <f t="shared" si="4"/>
        <v>0</v>
      </c>
      <c r="N15" s="127">
        <f t="shared" si="5"/>
        <v>0</v>
      </c>
      <c r="O15" s="127">
        <f t="shared" si="6"/>
        <v>0</v>
      </c>
      <c r="P15" s="278">
        <f t="shared" si="7"/>
        <v>0</v>
      </c>
      <c r="Q15" s="127">
        <f t="shared" si="8"/>
        <v>0</v>
      </c>
      <c r="R15" s="278">
        <f t="shared" si="9"/>
        <v>0</v>
      </c>
      <c r="S15" s="128">
        <f t="shared" si="10"/>
        <v>0</v>
      </c>
      <c r="T15" s="55"/>
    </row>
    <row r="16" spans="1:20">
      <c r="A16" s="57"/>
      <c r="B16" s="57"/>
      <c r="C16" s="57"/>
      <c r="D16" s="68"/>
      <c r="E16" s="275"/>
      <c r="F16" s="307" t="s">
        <v>228</v>
      </c>
      <c r="G16" s="74" t="s">
        <v>37</v>
      </c>
      <c r="H16" s="289">
        <f t="shared" si="11"/>
        <v>5</v>
      </c>
      <c r="I16" s="289">
        <f t="shared" si="0"/>
        <v>-5</v>
      </c>
      <c r="J16" s="289">
        <f t="shared" si="1"/>
        <v>0</v>
      </c>
      <c r="K16" s="289">
        <f t="shared" si="2"/>
        <v>0</v>
      </c>
      <c r="L16" s="289">
        <f t="shared" si="3"/>
        <v>0</v>
      </c>
      <c r="M16" s="289">
        <f t="shared" si="4"/>
        <v>0</v>
      </c>
      <c r="N16" s="289">
        <f t="shared" si="5"/>
        <v>0</v>
      </c>
      <c r="O16" s="289">
        <f t="shared" si="6"/>
        <v>0</v>
      </c>
      <c r="P16" s="290">
        <f t="shared" si="7"/>
        <v>0</v>
      </c>
      <c r="Q16" s="289">
        <f t="shared" si="8"/>
        <v>0</v>
      </c>
      <c r="R16" s="290">
        <f t="shared" si="9"/>
        <v>0</v>
      </c>
      <c r="S16" s="291">
        <f t="shared" si="10"/>
        <v>0</v>
      </c>
      <c r="T16" s="55"/>
    </row>
    <row r="17" spans="1:20">
      <c r="A17" s="57"/>
      <c r="B17" s="57"/>
      <c r="C17" s="57"/>
      <c r="D17" s="48"/>
      <c r="E17" s="275"/>
      <c r="F17" s="306" t="s">
        <v>200</v>
      </c>
      <c r="G17" s="227" t="s">
        <v>202</v>
      </c>
      <c r="H17" s="292">
        <f t="shared" si="11"/>
        <v>0</v>
      </c>
      <c r="I17" s="292">
        <f t="shared" si="0"/>
        <v>0</v>
      </c>
      <c r="J17" s="293">
        <f t="shared" si="1"/>
        <v>1</v>
      </c>
      <c r="K17" s="293">
        <f t="shared" si="2"/>
        <v>1.0341155557737347E-13</v>
      </c>
      <c r="L17" s="293">
        <f t="shared" si="3"/>
        <v>-1</v>
      </c>
      <c r="M17" s="293">
        <f t="shared" si="4"/>
        <v>1.0341155557737347E-13</v>
      </c>
      <c r="N17" s="293" t="str">
        <f t="shared" si="5"/>
        <v/>
      </c>
      <c r="O17" s="293" t="str">
        <f t="shared" si="6"/>
        <v/>
      </c>
      <c r="P17" s="293" t="str">
        <f t="shared" si="7"/>
        <v/>
      </c>
      <c r="Q17" s="293" t="str">
        <f t="shared" si="8"/>
        <v/>
      </c>
      <c r="R17" s="293" t="str">
        <f t="shared" si="9"/>
        <v/>
      </c>
      <c r="S17" s="123" t="str">
        <f t="shared" si="10"/>
        <v/>
      </c>
      <c r="T17" s="55"/>
    </row>
    <row r="18" spans="1:20">
      <c r="A18" s="57"/>
      <c r="B18" s="57"/>
      <c r="C18" s="57"/>
      <c r="D18" s="48"/>
      <c r="E18" s="275"/>
      <c r="F18" s="305" t="s">
        <v>199</v>
      </c>
      <c r="G18" s="228" t="s">
        <v>202</v>
      </c>
      <c r="H18" s="120">
        <f t="shared" si="11"/>
        <v>0</v>
      </c>
      <c r="I18" s="120">
        <f t="shared" si="0"/>
        <v>2.0682311115474694E-13</v>
      </c>
      <c r="J18" s="122">
        <f t="shared" si="1"/>
        <v>-2.0682311115474694E-13</v>
      </c>
      <c r="K18" s="122">
        <f t="shared" si="2"/>
        <v>1</v>
      </c>
      <c r="L18" s="122">
        <f t="shared" si="3"/>
        <v>0</v>
      </c>
      <c r="M18" s="122">
        <f t="shared" si="4"/>
        <v>-1</v>
      </c>
      <c r="N18" s="122" t="str">
        <f t="shared" si="5"/>
        <v/>
      </c>
      <c r="O18" s="122" t="str">
        <f t="shared" si="6"/>
        <v/>
      </c>
      <c r="P18" s="122" t="str">
        <f t="shared" si="7"/>
        <v/>
      </c>
      <c r="Q18" s="122" t="str">
        <f t="shared" si="8"/>
        <v/>
      </c>
      <c r="R18" s="122" t="str">
        <f t="shared" si="9"/>
        <v/>
      </c>
      <c r="S18" s="123" t="str">
        <f t="shared" si="10"/>
        <v/>
      </c>
      <c r="T18" s="55"/>
    </row>
    <row r="19" spans="1:20">
      <c r="A19" s="57"/>
      <c r="B19" s="57"/>
      <c r="C19" s="57"/>
      <c r="D19" s="48"/>
      <c r="E19" s="275"/>
      <c r="F19" s="307" t="s">
        <v>201</v>
      </c>
      <c r="G19" s="229" t="s">
        <v>202</v>
      </c>
      <c r="H19" s="294">
        <f t="shared" si="11"/>
        <v>1</v>
      </c>
      <c r="I19" s="294">
        <f t="shared" si="0"/>
        <v>-1</v>
      </c>
      <c r="J19" s="295">
        <f t="shared" si="1"/>
        <v>5.1034119692792285E-12</v>
      </c>
      <c r="K19" s="295">
        <f t="shared" si="2"/>
        <v>5.2775177049535193E-25</v>
      </c>
      <c r="L19" s="295">
        <f t="shared" si="3"/>
        <v>-5.1034119692792285E-12</v>
      </c>
      <c r="M19" s="295">
        <f t="shared" si="4"/>
        <v>5.2775177049535193E-25</v>
      </c>
      <c r="N19" s="295" t="str">
        <f t="shared" si="5"/>
        <v/>
      </c>
      <c r="O19" s="295" t="str">
        <f t="shared" si="6"/>
        <v/>
      </c>
      <c r="P19" s="295" t="str">
        <f t="shared" si="7"/>
        <v/>
      </c>
      <c r="Q19" s="295" t="str">
        <f t="shared" si="8"/>
        <v/>
      </c>
      <c r="R19" s="295" t="str">
        <f t="shared" si="9"/>
        <v/>
      </c>
      <c r="S19" s="296" t="str">
        <f t="shared" si="10"/>
        <v/>
      </c>
      <c r="T19" s="55"/>
    </row>
    <row r="20" spans="1:20">
      <c r="A20" s="57"/>
      <c r="B20" s="57"/>
      <c r="C20" s="64"/>
      <c r="D20" s="57"/>
      <c r="E20" s="275"/>
      <c r="F20" s="305" t="s">
        <v>203</v>
      </c>
      <c r="G20" s="56" t="s">
        <v>37</v>
      </c>
      <c r="H20" s="127">
        <f t="shared" si="11"/>
        <v>0</v>
      </c>
      <c r="I20" s="127">
        <f t="shared" si="0"/>
        <v>0</v>
      </c>
      <c r="J20" s="127">
        <f t="shared" si="1"/>
        <v>0</v>
      </c>
      <c r="K20" s="127">
        <f t="shared" si="2"/>
        <v>0</v>
      </c>
      <c r="L20" s="127">
        <f t="shared" si="3"/>
        <v>0</v>
      </c>
      <c r="M20" s="127">
        <f t="shared" si="4"/>
        <v>0</v>
      </c>
      <c r="N20" s="127">
        <f t="shared" si="5"/>
        <v>0</v>
      </c>
      <c r="O20" s="127">
        <f t="shared" si="6"/>
        <v>0</v>
      </c>
      <c r="P20" s="278">
        <f t="shared" si="7"/>
        <v>0</v>
      </c>
      <c r="Q20" s="127">
        <f t="shared" si="8"/>
        <v>0</v>
      </c>
      <c r="R20" s="278">
        <f t="shared" si="9"/>
        <v>0</v>
      </c>
      <c r="S20" s="128">
        <f t="shared" si="10"/>
        <v>0</v>
      </c>
      <c r="T20" s="55"/>
    </row>
    <row r="21" spans="1:20">
      <c r="E21" s="275"/>
      <c r="F21" s="305" t="s">
        <v>204</v>
      </c>
      <c r="G21" s="56" t="s">
        <v>37</v>
      </c>
      <c r="H21" s="127">
        <f t="shared" si="11"/>
        <v>0</v>
      </c>
      <c r="I21" s="127">
        <f t="shared" si="0"/>
        <v>0</v>
      </c>
      <c r="J21" s="127">
        <f t="shared" si="1"/>
        <v>0</v>
      </c>
      <c r="K21" s="127">
        <f t="shared" si="2"/>
        <v>0</v>
      </c>
      <c r="L21" s="127">
        <f t="shared" si="3"/>
        <v>0</v>
      </c>
      <c r="M21" s="127">
        <f t="shared" si="4"/>
        <v>0</v>
      </c>
      <c r="N21" s="127">
        <f t="shared" si="5"/>
        <v>0</v>
      </c>
      <c r="O21" s="127">
        <f t="shared" si="6"/>
        <v>0</v>
      </c>
      <c r="P21" s="127">
        <f t="shared" si="7"/>
        <v>0</v>
      </c>
      <c r="Q21" s="127">
        <f t="shared" si="8"/>
        <v>0</v>
      </c>
      <c r="R21" s="127">
        <f t="shared" si="9"/>
        <v>0</v>
      </c>
      <c r="S21" s="128">
        <f t="shared" si="10"/>
        <v>0</v>
      </c>
      <c r="T21" s="55"/>
    </row>
    <row r="22" spans="1:20">
      <c r="E22" s="275"/>
      <c r="F22" s="307" t="s">
        <v>205</v>
      </c>
      <c r="G22" s="74" t="s">
        <v>37</v>
      </c>
      <c r="H22" s="289">
        <f t="shared" si="11"/>
        <v>0</v>
      </c>
      <c r="I22" s="289">
        <f t="shared" si="0"/>
        <v>0</v>
      </c>
      <c r="J22" s="289">
        <f t="shared" si="1"/>
        <v>0</v>
      </c>
      <c r="K22" s="289">
        <f t="shared" si="2"/>
        <v>0</v>
      </c>
      <c r="L22" s="289">
        <f t="shared" si="3"/>
        <v>0</v>
      </c>
      <c r="M22" s="289">
        <f t="shared" si="4"/>
        <v>0</v>
      </c>
      <c r="N22" s="289">
        <f t="shared" si="5"/>
        <v>0</v>
      </c>
      <c r="O22" s="289">
        <f t="shared" si="6"/>
        <v>0</v>
      </c>
      <c r="P22" s="289">
        <f t="shared" si="7"/>
        <v>0</v>
      </c>
      <c r="Q22" s="289">
        <f t="shared" si="8"/>
        <v>0</v>
      </c>
      <c r="R22" s="289">
        <f t="shared" si="9"/>
        <v>0</v>
      </c>
      <c r="S22" s="291">
        <f t="shared" si="10"/>
        <v>0</v>
      </c>
      <c r="T22" s="55"/>
    </row>
    <row r="23" spans="1:20">
      <c r="E23" s="275"/>
      <c r="F23" s="305" t="s">
        <v>206</v>
      </c>
      <c r="G23" s="56" t="s">
        <v>37</v>
      </c>
      <c r="H23" s="127">
        <f t="shared" si="11"/>
        <v>0</v>
      </c>
      <c r="I23" s="127">
        <f t="shared" si="0"/>
        <v>0</v>
      </c>
      <c r="J23" s="127">
        <f t="shared" si="1"/>
        <v>0</v>
      </c>
      <c r="K23" s="127">
        <f t="shared" si="2"/>
        <v>0</v>
      </c>
      <c r="L23" s="127">
        <f t="shared" si="3"/>
        <v>0</v>
      </c>
      <c r="M23" s="127">
        <f t="shared" si="4"/>
        <v>0</v>
      </c>
      <c r="N23" s="127">
        <f t="shared" si="5"/>
        <v>0</v>
      </c>
      <c r="O23" s="127">
        <f t="shared" si="6"/>
        <v>0</v>
      </c>
      <c r="P23" s="278">
        <f t="shared" si="7"/>
        <v>0</v>
      </c>
      <c r="Q23" s="127">
        <f t="shared" si="8"/>
        <v>0</v>
      </c>
      <c r="R23" s="278">
        <f t="shared" si="9"/>
        <v>0</v>
      </c>
      <c r="S23" s="128">
        <f t="shared" si="10"/>
        <v>0</v>
      </c>
      <c r="T23" s="55"/>
    </row>
    <row r="24" spans="1:20">
      <c r="E24" s="275"/>
      <c r="F24" s="305" t="s">
        <v>207</v>
      </c>
      <c r="G24" s="56" t="s">
        <v>37</v>
      </c>
      <c r="H24" s="127">
        <f t="shared" si="11"/>
        <v>0</v>
      </c>
      <c r="I24" s="127">
        <f t="shared" si="0"/>
        <v>0</v>
      </c>
      <c r="J24" s="127">
        <f t="shared" si="1"/>
        <v>0</v>
      </c>
      <c r="K24" s="127">
        <f t="shared" si="2"/>
        <v>0</v>
      </c>
      <c r="L24" s="127">
        <f t="shared" si="3"/>
        <v>0</v>
      </c>
      <c r="M24" s="127">
        <f t="shared" si="4"/>
        <v>0</v>
      </c>
      <c r="N24" s="127">
        <f t="shared" si="5"/>
        <v>0</v>
      </c>
      <c r="O24" s="127">
        <f t="shared" si="6"/>
        <v>0</v>
      </c>
      <c r="P24" s="127">
        <f t="shared" si="7"/>
        <v>0</v>
      </c>
      <c r="Q24" s="127">
        <f t="shared" si="8"/>
        <v>0</v>
      </c>
      <c r="R24" s="127">
        <f t="shared" si="9"/>
        <v>0</v>
      </c>
      <c r="S24" s="128">
        <f t="shared" si="10"/>
        <v>0</v>
      </c>
      <c r="T24" s="55"/>
    </row>
    <row r="25" spans="1:20" ht="13.5" thickBot="1">
      <c r="E25" s="275"/>
      <c r="F25" s="308" t="s">
        <v>208</v>
      </c>
      <c r="G25" s="85" t="s">
        <v>37</v>
      </c>
      <c r="H25" s="297">
        <f t="shared" si="11"/>
        <v>0</v>
      </c>
      <c r="I25" s="297">
        <f t="shared" si="0"/>
        <v>0</v>
      </c>
      <c r="J25" s="297">
        <f t="shared" si="1"/>
        <v>0</v>
      </c>
      <c r="K25" s="297">
        <f t="shared" si="2"/>
        <v>0</v>
      </c>
      <c r="L25" s="297">
        <f t="shared" si="3"/>
        <v>0</v>
      </c>
      <c r="M25" s="297">
        <f t="shared" si="4"/>
        <v>0</v>
      </c>
      <c r="N25" s="297">
        <f t="shared" si="5"/>
        <v>0</v>
      </c>
      <c r="O25" s="297">
        <f t="shared" si="6"/>
        <v>0</v>
      </c>
      <c r="P25" s="297">
        <f t="shared" si="7"/>
        <v>0</v>
      </c>
      <c r="Q25" s="297">
        <f t="shared" si="8"/>
        <v>0</v>
      </c>
      <c r="R25" s="297">
        <f t="shared" si="9"/>
        <v>0</v>
      </c>
      <c r="S25" s="298">
        <f t="shared" si="10"/>
        <v>0</v>
      </c>
      <c r="T25" s="55"/>
    </row>
    <row r="26" spans="1:20" ht="13.5" thickBot="1">
      <c r="E26" s="275"/>
      <c r="F26" s="309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</row>
    <row r="27" spans="1:20">
      <c r="E27" s="275"/>
      <c r="F27" s="310" t="s">
        <v>225</v>
      </c>
      <c r="G27" s="15"/>
      <c r="H27" s="471" t="s">
        <v>195</v>
      </c>
      <c r="I27" s="472"/>
      <c r="J27" s="472"/>
      <c r="K27" s="472"/>
      <c r="L27" s="472"/>
      <c r="M27" s="472"/>
      <c r="N27" s="472"/>
      <c r="O27" s="473"/>
      <c r="P27" s="55"/>
      <c r="Q27" s="69"/>
      <c r="R27" s="279"/>
      <c r="S27" s="55"/>
      <c r="T27" s="55"/>
    </row>
    <row r="28" spans="1:20">
      <c r="E28" s="275"/>
      <c r="F28" s="304" t="s">
        <v>111</v>
      </c>
      <c r="G28" s="216" t="s">
        <v>109</v>
      </c>
      <c r="H28" s="33">
        <v>13</v>
      </c>
      <c r="I28" s="33">
        <v>14</v>
      </c>
      <c r="J28" s="33">
        <v>16</v>
      </c>
      <c r="K28" s="33">
        <v>16</v>
      </c>
      <c r="L28" s="33">
        <v>17</v>
      </c>
      <c r="M28" s="32">
        <v>18</v>
      </c>
      <c r="N28" s="33">
        <v>19</v>
      </c>
      <c r="O28" s="34">
        <v>20</v>
      </c>
      <c r="P28" s="55"/>
      <c r="Q28" s="69"/>
      <c r="R28" s="279"/>
      <c r="S28" s="55"/>
      <c r="T28" s="55"/>
    </row>
    <row r="29" spans="1:20">
      <c r="E29" s="69"/>
      <c r="F29" s="306" t="s">
        <v>185</v>
      </c>
      <c r="G29" s="206" t="s">
        <v>202</v>
      </c>
      <c r="H29" s="125" t="str">
        <f t="shared" ref="H29:H47" si="12">IF(ISBLANK(E162),E118,E162)</f>
        <v>Wing 1</v>
      </c>
      <c r="I29" s="125" t="str">
        <f t="shared" ref="I29:I47" si="13">IF(ISBLANK(F162),F118,F162)</f>
        <v>Wing 2</v>
      </c>
      <c r="J29" s="125" t="str">
        <f t="shared" ref="J29:J47" si="14">IF(ISBLANK(G162),G118,G162)</f>
        <v>Left Tail</v>
      </c>
      <c r="K29" s="125" t="str">
        <f t="shared" ref="K29:K47" si="15">IF(ISBLANK(H162),H118,H162)</f>
        <v>P-Right</v>
      </c>
      <c r="L29" s="125" t="str">
        <f t="shared" ref="L29:L47" si="16">IF(ISBLANK(I162),I118,I162)</f>
        <v>P-Left</v>
      </c>
      <c r="M29" s="125" t="str">
        <f t="shared" ref="M29:M47" si="17">IF(ISBLANK(J162),J118,J162)</f>
        <v>Panel 6</v>
      </c>
      <c r="N29" s="125" t="str">
        <f t="shared" ref="N29:N47" si="18">IF(ISBLANK(K162),K118,K162)</f>
        <v>Panel 7</v>
      </c>
      <c r="O29" s="126" t="str">
        <f t="shared" ref="O29:O47" si="19">IF(ISBLANK(L162),L118,L162)</f>
        <v>Panel 8</v>
      </c>
      <c r="P29" s="55"/>
      <c r="Q29" s="69"/>
      <c r="R29" s="279"/>
      <c r="S29" s="55"/>
      <c r="T29" s="55"/>
    </row>
    <row r="30" spans="1:20">
      <c r="E30" s="69"/>
      <c r="F30" s="305" t="s">
        <v>167</v>
      </c>
      <c r="G30" s="56" t="s">
        <v>36</v>
      </c>
      <c r="H30" s="125" t="b">
        <f t="shared" si="12"/>
        <v>0</v>
      </c>
      <c r="I30" s="125" t="b">
        <f t="shared" si="13"/>
        <v>0</v>
      </c>
      <c r="J30" s="125" t="b">
        <f t="shared" si="14"/>
        <v>0</v>
      </c>
      <c r="K30" s="125" t="b">
        <f t="shared" si="15"/>
        <v>0</v>
      </c>
      <c r="L30" s="125" t="b">
        <f t="shared" si="16"/>
        <v>0</v>
      </c>
      <c r="M30" s="125" t="b">
        <f t="shared" si="17"/>
        <v>0</v>
      </c>
      <c r="N30" s="125" t="b">
        <f t="shared" si="18"/>
        <v>0</v>
      </c>
      <c r="O30" s="126" t="b">
        <f t="shared" si="19"/>
        <v>0</v>
      </c>
      <c r="P30" s="130"/>
      <c r="Q30" s="130"/>
      <c r="R30" s="280"/>
      <c r="S30" s="55"/>
      <c r="T30" s="55"/>
    </row>
    <row r="31" spans="1:20">
      <c r="E31" s="69"/>
      <c r="F31" s="305" t="s">
        <v>72</v>
      </c>
      <c r="G31" s="248" t="s">
        <v>202</v>
      </c>
      <c r="H31" s="125" t="str">
        <f t="shared" si="12"/>
        <v/>
      </c>
      <c r="I31" s="125" t="str">
        <f t="shared" si="13"/>
        <v/>
      </c>
      <c r="J31" s="125" t="str">
        <f t="shared" si="14"/>
        <v/>
      </c>
      <c r="K31" s="125" t="str">
        <f t="shared" si="15"/>
        <v/>
      </c>
      <c r="L31" s="125" t="str">
        <f t="shared" si="16"/>
        <v/>
      </c>
      <c r="M31" s="125" t="str">
        <f t="shared" si="17"/>
        <v/>
      </c>
      <c r="N31" s="125" t="str">
        <f t="shared" si="18"/>
        <v/>
      </c>
      <c r="O31" s="126" t="str">
        <f t="shared" si="19"/>
        <v/>
      </c>
      <c r="P31" s="130"/>
      <c r="Q31" s="130"/>
      <c r="R31" s="280"/>
      <c r="S31" s="55"/>
      <c r="T31" s="55"/>
    </row>
    <row r="32" spans="1:20" ht="14.25">
      <c r="E32" s="275"/>
      <c r="F32" s="305" t="s">
        <v>164</v>
      </c>
      <c r="G32" s="56" t="s">
        <v>0</v>
      </c>
      <c r="H32" s="120" t="str">
        <f t="shared" si="12"/>
        <v/>
      </c>
      <c r="I32" s="120" t="str">
        <f t="shared" si="13"/>
        <v/>
      </c>
      <c r="J32" s="120" t="str">
        <f t="shared" si="14"/>
        <v/>
      </c>
      <c r="K32" s="120" t="str">
        <f t="shared" si="15"/>
        <v/>
      </c>
      <c r="L32" s="120" t="str">
        <f t="shared" si="16"/>
        <v/>
      </c>
      <c r="M32" s="120" t="str">
        <f t="shared" si="17"/>
        <v/>
      </c>
      <c r="N32" s="120" t="str">
        <f t="shared" si="18"/>
        <v/>
      </c>
      <c r="O32" s="121" t="str">
        <f t="shared" si="19"/>
        <v/>
      </c>
      <c r="P32" s="276"/>
      <c r="Q32" s="276"/>
      <c r="R32" s="279"/>
      <c r="S32" s="55"/>
      <c r="T32" s="55"/>
    </row>
    <row r="33" spans="5:20">
      <c r="E33" s="275"/>
      <c r="F33" s="306" t="s">
        <v>222</v>
      </c>
      <c r="G33" s="71" t="s">
        <v>159</v>
      </c>
      <c r="H33" s="283" t="str">
        <f t="shared" si="12"/>
        <v/>
      </c>
      <c r="I33" s="283" t="str">
        <f t="shared" si="13"/>
        <v/>
      </c>
      <c r="J33" s="283" t="str">
        <f t="shared" si="14"/>
        <v/>
      </c>
      <c r="K33" s="283" t="str">
        <f t="shared" si="15"/>
        <v/>
      </c>
      <c r="L33" s="283" t="str">
        <f t="shared" si="16"/>
        <v/>
      </c>
      <c r="M33" s="283" t="str">
        <f t="shared" si="17"/>
        <v/>
      </c>
      <c r="N33" s="283" t="str">
        <f t="shared" si="18"/>
        <v/>
      </c>
      <c r="O33" s="284" t="str">
        <f t="shared" si="19"/>
        <v/>
      </c>
      <c r="P33" s="101"/>
      <c r="Q33" s="101"/>
      <c r="R33" s="279"/>
      <c r="S33" s="55"/>
      <c r="T33" s="55"/>
    </row>
    <row r="34" spans="5:20">
      <c r="E34" s="275"/>
      <c r="F34" s="305" t="s">
        <v>223</v>
      </c>
      <c r="G34" s="72" t="s">
        <v>159</v>
      </c>
      <c r="H34" s="124" t="str">
        <f t="shared" si="12"/>
        <v/>
      </c>
      <c r="I34" s="124" t="str">
        <f t="shared" si="13"/>
        <v/>
      </c>
      <c r="J34" s="124" t="str">
        <f t="shared" si="14"/>
        <v/>
      </c>
      <c r="K34" s="124" t="str">
        <f t="shared" si="15"/>
        <v/>
      </c>
      <c r="L34" s="124" t="str">
        <f t="shared" si="16"/>
        <v/>
      </c>
      <c r="M34" s="124" t="str">
        <f t="shared" si="17"/>
        <v/>
      </c>
      <c r="N34" s="124" t="str">
        <f t="shared" si="18"/>
        <v/>
      </c>
      <c r="O34" s="129" t="str">
        <f t="shared" si="19"/>
        <v/>
      </c>
      <c r="P34" s="101"/>
      <c r="Q34" s="101"/>
      <c r="R34" s="279"/>
      <c r="S34" s="55"/>
      <c r="T34" s="55"/>
    </row>
    <row r="35" spans="5:20">
      <c r="E35" s="275"/>
      <c r="F35" s="307" t="s">
        <v>224</v>
      </c>
      <c r="G35" s="73" t="s">
        <v>159</v>
      </c>
      <c r="H35" s="285" t="str">
        <f t="shared" si="12"/>
        <v/>
      </c>
      <c r="I35" s="285" t="str">
        <f t="shared" si="13"/>
        <v/>
      </c>
      <c r="J35" s="285" t="str">
        <f t="shared" si="14"/>
        <v/>
      </c>
      <c r="K35" s="285" t="str">
        <f t="shared" si="15"/>
        <v/>
      </c>
      <c r="L35" s="285" t="str">
        <f t="shared" si="16"/>
        <v/>
      </c>
      <c r="M35" s="285" t="str">
        <f t="shared" si="17"/>
        <v/>
      </c>
      <c r="N35" s="285" t="str">
        <f t="shared" si="18"/>
        <v/>
      </c>
      <c r="O35" s="299" t="str">
        <f t="shared" si="19"/>
        <v/>
      </c>
      <c r="P35" s="101"/>
      <c r="Q35" s="101"/>
      <c r="R35" s="279"/>
      <c r="S35" s="55"/>
      <c r="T35" s="55"/>
    </row>
    <row r="36" spans="5:20">
      <c r="E36" s="275"/>
      <c r="F36" s="306" t="s">
        <v>226</v>
      </c>
      <c r="G36" s="71" t="s">
        <v>37</v>
      </c>
      <c r="H36" s="286" t="str">
        <f t="shared" si="12"/>
        <v/>
      </c>
      <c r="I36" s="286" t="str">
        <f t="shared" si="13"/>
        <v/>
      </c>
      <c r="J36" s="286" t="str">
        <f t="shared" si="14"/>
        <v/>
      </c>
      <c r="K36" s="286" t="str">
        <f t="shared" si="15"/>
        <v/>
      </c>
      <c r="L36" s="286" t="str">
        <f t="shared" si="16"/>
        <v/>
      </c>
      <c r="M36" s="286" t="str">
        <f t="shared" si="17"/>
        <v/>
      </c>
      <c r="N36" s="286" t="str">
        <f t="shared" si="18"/>
        <v/>
      </c>
      <c r="O36" s="288" t="str">
        <f t="shared" si="19"/>
        <v/>
      </c>
      <c r="P36" s="278"/>
      <c r="Q36" s="278"/>
      <c r="R36" s="278"/>
      <c r="S36" s="55"/>
      <c r="T36" s="55"/>
    </row>
    <row r="37" spans="5:20">
      <c r="E37" s="275"/>
      <c r="F37" s="305" t="s">
        <v>227</v>
      </c>
      <c r="G37" s="56" t="s">
        <v>37</v>
      </c>
      <c r="H37" s="127" t="str">
        <f t="shared" si="12"/>
        <v/>
      </c>
      <c r="I37" s="127" t="str">
        <f t="shared" si="13"/>
        <v/>
      </c>
      <c r="J37" s="127" t="str">
        <f t="shared" si="14"/>
        <v/>
      </c>
      <c r="K37" s="127" t="str">
        <f t="shared" si="15"/>
        <v/>
      </c>
      <c r="L37" s="127" t="str">
        <f t="shared" si="16"/>
        <v/>
      </c>
      <c r="M37" s="127" t="str">
        <f t="shared" si="17"/>
        <v/>
      </c>
      <c r="N37" s="127" t="str">
        <f t="shared" si="18"/>
        <v/>
      </c>
      <c r="O37" s="128" t="str">
        <f t="shared" si="19"/>
        <v/>
      </c>
      <c r="P37" s="278"/>
      <c r="Q37" s="278"/>
      <c r="R37" s="278"/>
      <c r="S37" s="55"/>
      <c r="T37" s="55"/>
    </row>
    <row r="38" spans="5:20">
      <c r="E38" s="275"/>
      <c r="F38" s="307" t="s">
        <v>228</v>
      </c>
      <c r="G38" s="74" t="s">
        <v>37</v>
      </c>
      <c r="H38" s="289" t="str">
        <f t="shared" si="12"/>
        <v/>
      </c>
      <c r="I38" s="289" t="str">
        <f t="shared" si="13"/>
        <v/>
      </c>
      <c r="J38" s="289" t="str">
        <f t="shared" si="14"/>
        <v/>
      </c>
      <c r="K38" s="289" t="str">
        <f t="shared" si="15"/>
        <v/>
      </c>
      <c r="L38" s="289" t="str">
        <f t="shared" si="16"/>
        <v/>
      </c>
      <c r="M38" s="289" t="str">
        <f t="shared" si="17"/>
        <v/>
      </c>
      <c r="N38" s="289" t="str">
        <f t="shared" si="18"/>
        <v/>
      </c>
      <c r="O38" s="291" t="str">
        <f t="shared" si="19"/>
        <v/>
      </c>
      <c r="P38" s="278"/>
      <c r="Q38" s="278"/>
      <c r="R38" s="278"/>
      <c r="S38" s="55"/>
      <c r="T38" s="55"/>
    </row>
    <row r="39" spans="5:20">
      <c r="E39" s="275"/>
      <c r="F39" s="306" t="s">
        <v>192</v>
      </c>
      <c r="G39" s="227" t="s">
        <v>202</v>
      </c>
      <c r="H39" s="293" t="str">
        <f t="shared" si="12"/>
        <v/>
      </c>
      <c r="I39" s="293" t="str">
        <f t="shared" si="13"/>
        <v/>
      </c>
      <c r="J39" s="293" t="str">
        <f t="shared" si="14"/>
        <v/>
      </c>
      <c r="K39" s="293" t="str">
        <f t="shared" si="15"/>
        <v/>
      </c>
      <c r="L39" s="293" t="str">
        <f t="shared" si="16"/>
        <v/>
      </c>
      <c r="M39" s="293" t="str">
        <f t="shared" si="17"/>
        <v/>
      </c>
      <c r="N39" s="293" t="str">
        <f t="shared" si="18"/>
        <v/>
      </c>
      <c r="O39" s="300" t="str">
        <f t="shared" si="19"/>
        <v/>
      </c>
      <c r="P39" s="277"/>
      <c r="Q39" s="277"/>
      <c r="R39" s="277"/>
      <c r="S39" s="55"/>
      <c r="T39" s="55"/>
    </row>
    <row r="40" spans="5:20">
      <c r="E40" s="275"/>
      <c r="F40" s="305" t="s">
        <v>193</v>
      </c>
      <c r="G40" s="228" t="s">
        <v>202</v>
      </c>
      <c r="H40" s="122" t="str">
        <f t="shared" si="12"/>
        <v/>
      </c>
      <c r="I40" s="122" t="str">
        <f t="shared" si="13"/>
        <v/>
      </c>
      <c r="J40" s="122" t="str">
        <f t="shared" si="14"/>
        <v/>
      </c>
      <c r="K40" s="122" t="str">
        <f t="shared" si="15"/>
        <v/>
      </c>
      <c r="L40" s="122" t="str">
        <f t="shared" si="16"/>
        <v/>
      </c>
      <c r="M40" s="122" t="str">
        <f t="shared" si="17"/>
        <v/>
      </c>
      <c r="N40" s="122" t="str">
        <f t="shared" si="18"/>
        <v/>
      </c>
      <c r="O40" s="123" t="str">
        <f t="shared" si="19"/>
        <v/>
      </c>
      <c r="P40" s="277"/>
      <c r="Q40" s="277"/>
      <c r="R40" s="277"/>
      <c r="S40" s="55"/>
      <c r="T40" s="55"/>
    </row>
    <row r="41" spans="5:20">
      <c r="E41" s="275"/>
      <c r="F41" s="307" t="s">
        <v>194</v>
      </c>
      <c r="G41" s="229" t="s">
        <v>202</v>
      </c>
      <c r="H41" s="295" t="str">
        <f t="shared" si="12"/>
        <v/>
      </c>
      <c r="I41" s="295" t="str">
        <f t="shared" si="13"/>
        <v/>
      </c>
      <c r="J41" s="295" t="str">
        <f t="shared" si="14"/>
        <v/>
      </c>
      <c r="K41" s="295" t="str">
        <f t="shared" si="15"/>
        <v/>
      </c>
      <c r="L41" s="295" t="str">
        <f t="shared" si="16"/>
        <v/>
      </c>
      <c r="M41" s="295" t="str">
        <f t="shared" si="17"/>
        <v/>
      </c>
      <c r="N41" s="295" t="str">
        <f t="shared" si="18"/>
        <v/>
      </c>
      <c r="O41" s="296" t="str">
        <f t="shared" si="19"/>
        <v/>
      </c>
      <c r="P41" s="277"/>
      <c r="Q41" s="277"/>
      <c r="R41" s="277"/>
      <c r="S41" s="55"/>
      <c r="T41" s="55"/>
    </row>
    <row r="42" spans="5:20">
      <c r="E42" s="275"/>
      <c r="F42" s="305" t="s">
        <v>203</v>
      </c>
      <c r="G42" s="56" t="s">
        <v>37</v>
      </c>
      <c r="H42" s="127" t="str">
        <f t="shared" si="12"/>
        <v/>
      </c>
      <c r="I42" s="127" t="str">
        <f t="shared" si="13"/>
        <v/>
      </c>
      <c r="J42" s="127" t="str">
        <f t="shared" si="14"/>
        <v/>
      </c>
      <c r="K42" s="127" t="str">
        <f t="shared" si="15"/>
        <v/>
      </c>
      <c r="L42" s="127" t="str">
        <f t="shared" si="16"/>
        <v/>
      </c>
      <c r="M42" s="127" t="str">
        <f t="shared" si="17"/>
        <v/>
      </c>
      <c r="N42" s="127" t="str">
        <f t="shared" si="18"/>
        <v/>
      </c>
      <c r="O42" s="128" t="str">
        <f t="shared" si="19"/>
        <v/>
      </c>
      <c r="P42" s="278"/>
      <c r="Q42" s="278"/>
      <c r="R42" s="278"/>
      <c r="S42" s="55"/>
      <c r="T42" s="55"/>
    </row>
    <row r="43" spans="5:20">
      <c r="E43" s="275"/>
      <c r="F43" s="305" t="s">
        <v>204</v>
      </c>
      <c r="G43" s="56" t="s">
        <v>37</v>
      </c>
      <c r="H43" s="127" t="str">
        <f t="shared" si="12"/>
        <v/>
      </c>
      <c r="I43" s="127" t="str">
        <f t="shared" si="13"/>
        <v/>
      </c>
      <c r="J43" s="127" t="str">
        <f t="shared" si="14"/>
        <v/>
      </c>
      <c r="K43" s="127" t="str">
        <f t="shared" si="15"/>
        <v/>
      </c>
      <c r="L43" s="127" t="str">
        <f t="shared" si="16"/>
        <v/>
      </c>
      <c r="M43" s="127" t="str">
        <f t="shared" si="17"/>
        <v/>
      </c>
      <c r="N43" s="127" t="str">
        <f t="shared" si="18"/>
        <v/>
      </c>
      <c r="O43" s="128" t="str">
        <f t="shared" si="19"/>
        <v/>
      </c>
      <c r="P43" s="278"/>
      <c r="Q43" s="278"/>
      <c r="R43" s="278"/>
      <c r="S43" s="55"/>
      <c r="T43" s="55"/>
    </row>
    <row r="44" spans="5:20">
      <c r="E44" s="275"/>
      <c r="F44" s="307" t="s">
        <v>205</v>
      </c>
      <c r="G44" s="74" t="s">
        <v>37</v>
      </c>
      <c r="H44" s="289" t="str">
        <f t="shared" si="12"/>
        <v/>
      </c>
      <c r="I44" s="289" t="str">
        <f t="shared" si="13"/>
        <v/>
      </c>
      <c r="J44" s="289" t="str">
        <f t="shared" si="14"/>
        <v/>
      </c>
      <c r="K44" s="289" t="str">
        <f t="shared" si="15"/>
        <v/>
      </c>
      <c r="L44" s="289" t="str">
        <f t="shared" si="16"/>
        <v/>
      </c>
      <c r="M44" s="289" t="str">
        <f t="shared" si="17"/>
        <v/>
      </c>
      <c r="N44" s="289" t="str">
        <f t="shared" si="18"/>
        <v/>
      </c>
      <c r="O44" s="291" t="str">
        <f t="shared" si="19"/>
        <v/>
      </c>
      <c r="P44" s="278"/>
      <c r="Q44" s="278"/>
      <c r="R44" s="278"/>
      <c r="S44" s="55"/>
      <c r="T44" s="55"/>
    </row>
    <row r="45" spans="5:20">
      <c r="E45" s="275"/>
      <c r="F45" s="305" t="s">
        <v>206</v>
      </c>
      <c r="G45" s="56" t="s">
        <v>37</v>
      </c>
      <c r="H45" s="127" t="str">
        <f t="shared" si="12"/>
        <v/>
      </c>
      <c r="I45" s="127" t="str">
        <f t="shared" si="13"/>
        <v/>
      </c>
      <c r="J45" s="127" t="str">
        <f t="shared" si="14"/>
        <v/>
      </c>
      <c r="K45" s="127" t="str">
        <f t="shared" si="15"/>
        <v/>
      </c>
      <c r="L45" s="127" t="str">
        <f t="shared" si="16"/>
        <v/>
      </c>
      <c r="M45" s="127" t="str">
        <f t="shared" si="17"/>
        <v/>
      </c>
      <c r="N45" s="127" t="str">
        <f t="shared" si="18"/>
        <v/>
      </c>
      <c r="O45" s="128" t="str">
        <f t="shared" si="19"/>
        <v/>
      </c>
      <c r="P45" s="278"/>
      <c r="Q45" s="278"/>
      <c r="R45" s="278"/>
      <c r="S45" s="55"/>
      <c r="T45" s="55"/>
    </row>
    <row r="46" spans="5:20">
      <c r="E46" s="275"/>
      <c r="F46" s="305" t="s">
        <v>207</v>
      </c>
      <c r="G46" s="56" t="s">
        <v>37</v>
      </c>
      <c r="H46" s="127" t="str">
        <f t="shared" si="12"/>
        <v/>
      </c>
      <c r="I46" s="127" t="str">
        <f t="shared" si="13"/>
        <v/>
      </c>
      <c r="J46" s="127" t="str">
        <f t="shared" si="14"/>
        <v/>
      </c>
      <c r="K46" s="127" t="str">
        <f t="shared" si="15"/>
        <v/>
      </c>
      <c r="L46" s="127" t="str">
        <f t="shared" si="16"/>
        <v/>
      </c>
      <c r="M46" s="127" t="str">
        <f t="shared" si="17"/>
        <v/>
      </c>
      <c r="N46" s="127" t="str">
        <f t="shared" si="18"/>
        <v/>
      </c>
      <c r="O46" s="128" t="str">
        <f t="shared" si="19"/>
        <v/>
      </c>
      <c r="P46" s="278"/>
      <c r="Q46" s="278"/>
      <c r="R46" s="278"/>
      <c r="S46" s="55"/>
      <c r="T46" s="55"/>
    </row>
    <row r="47" spans="5:20" ht="13.5" thickBot="1">
      <c r="E47" s="275"/>
      <c r="F47" s="308" t="s">
        <v>208</v>
      </c>
      <c r="G47" s="85" t="s">
        <v>37</v>
      </c>
      <c r="H47" s="297" t="str">
        <f t="shared" si="12"/>
        <v/>
      </c>
      <c r="I47" s="297" t="str">
        <f t="shared" si="13"/>
        <v/>
      </c>
      <c r="J47" s="297" t="str">
        <f t="shared" si="14"/>
        <v/>
      </c>
      <c r="K47" s="297" t="str">
        <f t="shared" si="15"/>
        <v/>
      </c>
      <c r="L47" s="297" t="str">
        <f t="shared" si="16"/>
        <v/>
      </c>
      <c r="M47" s="297" t="str">
        <f t="shared" si="17"/>
        <v/>
      </c>
      <c r="N47" s="297" t="str">
        <f t="shared" si="18"/>
        <v/>
      </c>
      <c r="O47" s="298" t="str">
        <f t="shared" si="19"/>
        <v/>
      </c>
      <c r="P47" s="278"/>
      <c r="Q47" s="278"/>
      <c r="R47" s="278"/>
      <c r="S47" s="55"/>
      <c r="T47" s="55"/>
    </row>
    <row r="48" spans="5:20">
      <c r="E48" s="275"/>
      <c r="F48" s="69"/>
      <c r="G48" s="101"/>
      <c r="H48" s="101"/>
      <c r="I48" s="101"/>
      <c r="J48" s="101"/>
      <c r="K48" s="101"/>
      <c r="L48" s="101"/>
      <c r="M48" s="101"/>
      <c r="N48" s="101"/>
      <c r="O48" s="130"/>
      <c r="P48" s="69"/>
      <c r="Q48" s="69"/>
      <c r="R48" s="69"/>
      <c r="S48" s="69"/>
      <c r="T48" s="55"/>
    </row>
    <row r="49" spans="3:20">
      <c r="E49" s="275"/>
      <c r="F49" s="69"/>
      <c r="G49" s="101"/>
      <c r="H49" s="101"/>
      <c r="I49" s="101"/>
      <c r="J49" s="101"/>
      <c r="K49" s="101"/>
      <c r="L49" s="101"/>
      <c r="M49" s="101"/>
      <c r="N49" s="101"/>
      <c r="O49" s="130"/>
      <c r="P49" s="69"/>
      <c r="Q49" s="69"/>
      <c r="R49" s="69"/>
      <c r="S49" s="69"/>
      <c r="T49" s="55"/>
    </row>
    <row r="50" spans="3:20">
      <c r="E50" s="275"/>
      <c r="F50" s="69"/>
      <c r="G50" s="101"/>
      <c r="H50" s="101"/>
      <c r="I50" s="101"/>
      <c r="J50" s="101"/>
      <c r="K50" s="101"/>
      <c r="L50" s="101"/>
      <c r="M50" s="101"/>
      <c r="N50" s="101"/>
      <c r="O50" s="130"/>
      <c r="P50" s="69"/>
      <c r="Q50" s="69"/>
      <c r="R50" s="69"/>
      <c r="S50" s="69"/>
      <c r="T50" s="55"/>
    </row>
    <row r="51" spans="3:20">
      <c r="E51" s="275"/>
      <c r="F51" s="69"/>
      <c r="G51" s="101"/>
      <c r="H51" s="101"/>
      <c r="I51" s="101"/>
      <c r="J51" s="101"/>
      <c r="K51" s="101"/>
      <c r="L51" s="101"/>
      <c r="M51" s="101"/>
      <c r="N51" s="101"/>
      <c r="O51" s="130"/>
      <c r="P51" s="69"/>
      <c r="Q51" s="69"/>
      <c r="R51" s="69"/>
      <c r="S51" s="69"/>
      <c r="T51" s="55"/>
    </row>
    <row r="52" spans="3:20">
      <c r="E52" s="275"/>
      <c r="F52" s="69"/>
      <c r="G52" s="101"/>
      <c r="H52" s="101"/>
      <c r="I52" s="101"/>
      <c r="J52" s="101"/>
      <c r="K52" s="101"/>
      <c r="L52" s="101"/>
      <c r="M52" s="101"/>
      <c r="N52" s="101"/>
      <c r="O52" s="130"/>
      <c r="P52" s="69"/>
      <c r="Q52" s="69"/>
      <c r="R52" s="69"/>
      <c r="S52" s="69"/>
      <c r="T52" s="55"/>
    </row>
    <row r="53" spans="3:20">
      <c r="E53" s="275"/>
      <c r="F53" s="69"/>
      <c r="G53" s="101"/>
      <c r="H53" s="101"/>
      <c r="I53" s="101"/>
      <c r="J53" s="101"/>
      <c r="K53" s="101"/>
      <c r="L53" s="101"/>
      <c r="M53" s="101"/>
      <c r="N53" s="101"/>
      <c r="O53" s="130"/>
      <c r="P53" s="69"/>
      <c r="Q53" s="69"/>
      <c r="R53" s="69"/>
      <c r="S53" s="69"/>
      <c r="T53" s="55"/>
    </row>
    <row r="54" spans="3:20">
      <c r="E54" s="275"/>
      <c r="F54" s="69"/>
      <c r="G54" s="101"/>
      <c r="H54" s="101"/>
      <c r="I54" s="101"/>
      <c r="J54" s="101"/>
      <c r="K54" s="101"/>
      <c r="L54" s="101"/>
      <c r="M54" s="101"/>
      <c r="N54" s="101"/>
      <c r="O54" s="69"/>
      <c r="P54" s="69"/>
      <c r="Q54" s="69"/>
      <c r="R54" s="69"/>
      <c r="S54" s="69"/>
      <c r="T54" s="55"/>
    </row>
    <row r="55" spans="3:20">
      <c r="E55" s="275"/>
      <c r="F55" s="69"/>
      <c r="G55" s="101"/>
      <c r="H55" s="101"/>
      <c r="I55" s="101"/>
      <c r="J55" s="101"/>
      <c r="K55" s="101"/>
      <c r="L55" s="101"/>
      <c r="M55" s="101"/>
      <c r="N55" s="101"/>
      <c r="O55" s="69"/>
      <c r="P55" s="69"/>
      <c r="Q55" s="69"/>
      <c r="R55" s="69"/>
      <c r="S55" s="69"/>
      <c r="T55" s="55"/>
    </row>
    <row r="56" spans="3:20">
      <c r="E56" s="275"/>
      <c r="F56" s="69"/>
      <c r="G56" s="101"/>
      <c r="H56" s="101"/>
      <c r="I56" s="101"/>
      <c r="J56" s="101"/>
      <c r="K56" s="101"/>
      <c r="L56" s="101"/>
      <c r="M56" s="101"/>
      <c r="N56" s="101"/>
      <c r="O56" s="69"/>
      <c r="P56" s="69"/>
      <c r="Q56" s="69"/>
      <c r="R56" s="69"/>
      <c r="S56" s="69"/>
      <c r="T56" s="55"/>
    </row>
    <row r="57" spans="3:20">
      <c r="E57" s="275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55"/>
    </row>
    <row r="58" spans="3:20"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55"/>
    </row>
    <row r="59" spans="3:20" ht="13.5" thickBot="1"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</row>
    <row r="60" spans="3:20" ht="26.25" thickBot="1">
      <c r="C60" s="330" t="s">
        <v>242</v>
      </c>
      <c r="E60" s="10"/>
      <c r="F60" s="10"/>
      <c r="G60" s="10"/>
      <c r="H60" s="10"/>
      <c r="I60" s="10"/>
      <c r="J60" s="332" t="s">
        <v>236</v>
      </c>
      <c r="K60" s="333"/>
      <c r="L60" s="10"/>
      <c r="M60" s="10"/>
      <c r="N60" s="10"/>
      <c r="O60" s="10"/>
      <c r="P60" s="10"/>
      <c r="Q60" s="10"/>
      <c r="R60" s="10"/>
      <c r="S60" s="10"/>
    </row>
    <row r="61" spans="3:20" ht="12" customHeight="1" thickBot="1">
      <c r="E61" s="10"/>
      <c r="F61" s="10"/>
      <c r="G61" s="10"/>
      <c r="H61" s="10"/>
      <c r="I61" s="10"/>
      <c r="J61" s="334" t="s">
        <v>237</v>
      </c>
      <c r="K61" s="335"/>
      <c r="L61" s="10"/>
      <c r="Q61" s="10"/>
      <c r="R61" s="10"/>
      <c r="S61" s="10"/>
    </row>
    <row r="62" spans="3:20" ht="12" customHeight="1" thickBot="1">
      <c r="C62" s="330"/>
      <c r="J62" s="336" t="s">
        <v>238</v>
      </c>
      <c r="K62" s="337"/>
    </row>
    <row r="63" spans="3:20" s="344" customFormat="1" ht="12" customHeight="1" thickBot="1">
      <c r="J63" s="338" t="s">
        <v>239</v>
      </c>
      <c r="K63" s="339"/>
      <c r="M63"/>
      <c r="N63"/>
      <c r="O63"/>
      <c r="P63"/>
    </row>
    <row r="64" spans="3:20" ht="12" customHeight="1" thickBot="1">
      <c r="F64" s="2"/>
      <c r="J64" s="340" t="s">
        <v>240</v>
      </c>
      <c r="K64" s="341"/>
    </row>
    <row r="65" spans="2:17" ht="12" customHeight="1" thickBot="1">
      <c r="F65" s="2"/>
      <c r="J65" s="342" t="s">
        <v>241</v>
      </c>
      <c r="K65" s="343"/>
    </row>
    <row r="66" spans="2:17" ht="21" thickBot="1">
      <c r="C66" s="329" t="s">
        <v>245</v>
      </c>
      <c r="D66" s="344"/>
      <c r="E66" s="344"/>
      <c r="F66" s="344"/>
    </row>
    <row r="67" spans="2:17">
      <c r="C67" s="352" t="s">
        <v>111</v>
      </c>
      <c r="D67" s="1" t="s">
        <v>243</v>
      </c>
      <c r="E67" s="1" t="s">
        <v>244</v>
      </c>
      <c r="F67" s="345" t="s">
        <v>109</v>
      </c>
    </row>
    <row r="68" spans="2:17" s="344" customFormat="1">
      <c r="C68" s="403" t="s">
        <v>279</v>
      </c>
      <c r="D68" s="347"/>
      <c r="E68" s="354">
        <v>10</v>
      </c>
      <c r="F68" s="404" t="s">
        <v>37</v>
      </c>
    </row>
    <row r="69" spans="2:17" s="344" customFormat="1">
      <c r="C69" s="406" t="s">
        <v>280</v>
      </c>
      <c r="D69" s="347"/>
      <c r="E69" s="354">
        <v>10</v>
      </c>
      <c r="F69" s="404" t="s">
        <v>37</v>
      </c>
    </row>
    <row r="70" spans="2:17" s="344" customFormat="1">
      <c r="C70" s="403" t="s">
        <v>281</v>
      </c>
      <c r="D70" s="347"/>
      <c r="E70" s="354">
        <v>10</v>
      </c>
      <c r="F70" s="404" t="s">
        <v>37</v>
      </c>
    </row>
    <row r="71" spans="2:17" ht="14.25">
      <c r="B71" s="11"/>
      <c r="C71" s="403" t="s">
        <v>282</v>
      </c>
      <c r="D71" s="347"/>
      <c r="E71" s="368">
        <f>E68*E69</f>
        <v>100</v>
      </c>
      <c r="F71" s="348" t="s">
        <v>0</v>
      </c>
      <c r="M71" s="4"/>
    </row>
    <row r="72" spans="2:17" ht="15" customHeight="1">
      <c r="C72" s="403" t="s">
        <v>292</v>
      </c>
      <c r="D72" s="347"/>
      <c r="E72" s="368">
        <f>E68*E70</f>
        <v>100</v>
      </c>
      <c r="F72" s="348" t="s">
        <v>0</v>
      </c>
    </row>
    <row r="73" spans="2:17" s="344" customFormat="1" ht="15" customHeight="1">
      <c r="C73" s="403" t="s">
        <v>291</v>
      </c>
      <c r="D73" s="347"/>
      <c r="E73" s="368">
        <f>E69*E70</f>
        <v>100</v>
      </c>
      <c r="F73" s="348" t="s">
        <v>0</v>
      </c>
    </row>
    <row r="74" spans="2:17" ht="14.25">
      <c r="C74" s="346" t="s">
        <v>41</v>
      </c>
      <c r="D74" s="347"/>
      <c r="E74" s="368">
        <f>2*(E71+E72+E73)</f>
        <v>600</v>
      </c>
      <c r="F74" s="348" t="s">
        <v>0</v>
      </c>
      <c r="N74" s="344"/>
      <c r="O74" s="344"/>
      <c r="P74" s="344"/>
      <c r="Q74" s="344"/>
    </row>
    <row r="75" spans="2:17" ht="15" thickBot="1">
      <c r="C75" s="355" t="s">
        <v>70</v>
      </c>
      <c r="D75" s="356"/>
      <c r="E75" s="367">
        <f>E69*E68*E70</f>
        <v>1000</v>
      </c>
      <c r="F75" s="357" t="s">
        <v>1</v>
      </c>
    </row>
    <row r="77" spans="2:17">
      <c r="J77" s="331"/>
    </row>
    <row r="78" spans="2:17" ht="21" thickBot="1">
      <c r="C78" s="329" t="s">
        <v>246</v>
      </c>
      <c r="D78" s="4"/>
    </row>
    <row r="79" spans="2:17">
      <c r="C79" s="358"/>
      <c r="D79" s="349"/>
      <c r="E79" s="359">
        <v>13</v>
      </c>
      <c r="F79" s="359">
        <v>14</v>
      </c>
      <c r="G79" s="359">
        <v>16</v>
      </c>
      <c r="H79" s="359">
        <v>16</v>
      </c>
      <c r="I79" s="359">
        <v>17</v>
      </c>
      <c r="J79" s="359">
        <v>18</v>
      </c>
      <c r="K79" s="359">
        <v>19</v>
      </c>
      <c r="L79" s="360">
        <v>20</v>
      </c>
    </row>
    <row r="80" spans="2:17">
      <c r="C80" s="361" t="s">
        <v>111</v>
      </c>
      <c r="D80" s="351" t="s">
        <v>109</v>
      </c>
      <c r="E80" s="432" t="s">
        <v>293</v>
      </c>
      <c r="F80" s="432" t="s">
        <v>294</v>
      </c>
      <c r="G80" s="432" t="s">
        <v>289</v>
      </c>
      <c r="H80" s="432" t="s">
        <v>288</v>
      </c>
      <c r="I80" s="432" t="s">
        <v>287</v>
      </c>
      <c r="J80" s="353" t="s">
        <v>196</v>
      </c>
      <c r="K80" s="353" t="s">
        <v>197</v>
      </c>
      <c r="L80" s="362" t="s">
        <v>198</v>
      </c>
    </row>
    <row r="81" spans="2:16">
      <c r="C81" s="363" t="s">
        <v>167</v>
      </c>
      <c r="D81" s="350" t="s">
        <v>36</v>
      </c>
      <c r="E81" s="364" t="b">
        <v>0</v>
      </c>
      <c r="F81" s="364" t="b">
        <v>0</v>
      </c>
      <c r="G81" s="364" t="b">
        <v>0</v>
      </c>
      <c r="H81" s="364" t="b">
        <v>0</v>
      </c>
      <c r="I81" s="364" t="b">
        <v>0</v>
      </c>
      <c r="J81" s="364" t="b">
        <v>0</v>
      </c>
      <c r="K81" s="364" t="b">
        <v>0</v>
      </c>
      <c r="L81" s="365" t="b">
        <v>0</v>
      </c>
    </row>
    <row r="82" spans="2:16" ht="15.75" customHeight="1">
      <c r="C82" s="346" t="s">
        <v>107</v>
      </c>
      <c r="D82" s="366" t="s">
        <v>202</v>
      </c>
      <c r="E82" s="353">
        <v>1</v>
      </c>
      <c r="F82" s="353">
        <v>1</v>
      </c>
      <c r="G82" s="353">
        <v>1</v>
      </c>
      <c r="H82" s="353">
        <v>1</v>
      </c>
      <c r="I82" s="353">
        <v>1</v>
      </c>
      <c r="J82" s="353">
        <v>1</v>
      </c>
      <c r="K82" s="353">
        <v>1</v>
      </c>
      <c r="L82" s="362">
        <v>1</v>
      </c>
    </row>
    <row r="83" spans="2:16">
      <c r="C83" s="346" t="s">
        <v>251</v>
      </c>
      <c r="D83" s="347" t="s">
        <v>37</v>
      </c>
      <c r="E83" s="353">
        <v>30</v>
      </c>
      <c r="F83" s="353">
        <v>30</v>
      </c>
      <c r="G83" s="353">
        <v>30</v>
      </c>
      <c r="H83" s="353">
        <v>30</v>
      </c>
      <c r="I83" s="353">
        <v>30</v>
      </c>
      <c r="J83" s="353">
        <v>30</v>
      </c>
      <c r="K83" s="353">
        <v>30</v>
      </c>
      <c r="L83" s="362">
        <v>30</v>
      </c>
    </row>
    <row r="84" spans="2:16">
      <c r="C84" s="346" t="s">
        <v>252</v>
      </c>
      <c r="D84" s="347" t="s">
        <v>37</v>
      </c>
      <c r="E84" s="353">
        <v>20</v>
      </c>
      <c r="F84" s="353">
        <v>20</v>
      </c>
      <c r="G84" s="353">
        <v>10</v>
      </c>
      <c r="H84" s="353">
        <v>20</v>
      </c>
      <c r="I84" s="353">
        <v>20</v>
      </c>
      <c r="J84" s="353">
        <v>20</v>
      </c>
      <c r="K84" s="353">
        <v>20</v>
      </c>
      <c r="L84" s="362">
        <v>20</v>
      </c>
    </row>
    <row r="85" spans="2:16">
      <c r="C85" s="346" t="s">
        <v>247</v>
      </c>
      <c r="D85" s="347" t="s">
        <v>159</v>
      </c>
      <c r="E85" s="353">
        <v>0</v>
      </c>
      <c r="F85" s="353">
        <v>0</v>
      </c>
      <c r="G85" s="353">
        <v>180</v>
      </c>
      <c r="H85" s="353">
        <v>0</v>
      </c>
      <c r="I85" s="353">
        <v>0</v>
      </c>
      <c r="J85" s="353">
        <v>0</v>
      </c>
      <c r="K85" s="353">
        <v>0</v>
      </c>
      <c r="L85" s="362">
        <v>0</v>
      </c>
    </row>
    <row r="86" spans="2:16">
      <c r="C86" s="346" t="s">
        <v>248</v>
      </c>
      <c r="D86" s="347" t="s">
        <v>159</v>
      </c>
      <c r="E86" s="353">
        <v>0</v>
      </c>
      <c r="F86" s="353">
        <v>0</v>
      </c>
      <c r="G86" s="353">
        <v>0</v>
      </c>
      <c r="H86" s="353">
        <v>0</v>
      </c>
      <c r="I86" s="353">
        <v>0</v>
      </c>
      <c r="J86" s="353">
        <v>0</v>
      </c>
      <c r="K86" s="353">
        <v>0</v>
      </c>
      <c r="L86" s="362">
        <v>0</v>
      </c>
    </row>
    <row r="87" spans="2:16">
      <c r="C87" s="346" t="s">
        <v>249</v>
      </c>
      <c r="D87" s="347" t="s">
        <v>159</v>
      </c>
      <c r="E87" s="353">
        <v>180</v>
      </c>
      <c r="F87" s="353">
        <v>180</v>
      </c>
      <c r="G87" s="353">
        <v>90</v>
      </c>
      <c r="H87" s="353">
        <v>180</v>
      </c>
      <c r="I87" s="353">
        <v>180</v>
      </c>
      <c r="J87" s="353">
        <v>180</v>
      </c>
      <c r="K87" s="353">
        <v>180</v>
      </c>
      <c r="L87" s="362">
        <v>180</v>
      </c>
    </row>
    <row r="88" spans="2:16">
      <c r="C88" s="346" t="s">
        <v>214</v>
      </c>
      <c r="D88" s="347" t="s">
        <v>37</v>
      </c>
      <c r="E88" s="353">
        <v>0</v>
      </c>
      <c r="F88" s="353">
        <v>0</v>
      </c>
      <c r="G88" s="353">
        <v>0</v>
      </c>
      <c r="H88" s="353">
        <v>0</v>
      </c>
      <c r="I88" s="353">
        <v>0</v>
      </c>
      <c r="J88" s="353">
        <v>0</v>
      </c>
      <c r="K88" s="353">
        <v>0</v>
      </c>
      <c r="L88" s="362">
        <v>0</v>
      </c>
    </row>
    <row r="89" spans="2:16">
      <c r="C89" s="346" t="s">
        <v>215</v>
      </c>
      <c r="D89" s="347" t="s">
        <v>37</v>
      </c>
      <c r="E89" s="353">
        <v>15</v>
      </c>
      <c r="F89" s="353">
        <v>15</v>
      </c>
      <c r="G89" s="353">
        <v>15</v>
      </c>
      <c r="H89" s="353">
        <v>5</v>
      </c>
      <c r="I89" s="353">
        <v>5</v>
      </c>
      <c r="J89" s="353">
        <v>5</v>
      </c>
      <c r="K89" s="353">
        <v>5</v>
      </c>
      <c r="L89" s="362">
        <v>5</v>
      </c>
    </row>
    <row r="90" spans="2:16" ht="15" thickBot="1">
      <c r="C90" s="355" t="s">
        <v>250</v>
      </c>
      <c r="D90" s="356" t="s">
        <v>0</v>
      </c>
      <c r="E90" s="367" t="str">
        <f>IF(E81,E83*E84,"")</f>
        <v/>
      </c>
      <c r="F90" s="367" t="str">
        <f t="shared" ref="F90:L90" si="20">IF(F81,F83*F84,"")</f>
        <v/>
      </c>
      <c r="G90" s="367" t="str">
        <f t="shared" si="20"/>
        <v/>
      </c>
      <c r="H90" s="367" t="str">
        <f t="shared" si="20"/>
        <v/>
      </c>
      <c r="I90" s="367" t="str">
        <f t="shared" si="20"/>
        <v/>
      </c>
      <c r="J90" s="367" t="str">
        <f t="shared" si="20"/>
        <v/>
      </c>
      <c r="K90" s="367" t="str">
        <f t="shared" si="20"/>
        <v/>
      </c>
      <c r="L90" s="434" t="str">
        <f t="shared" si="20"/>
        <v/>
      </c>
    </row>
    <row r="94" spans="2:16" ht="13.5" thickBot="1"/>
    <row r="95" spans="2:16">
      <c r="B95" s="5"/>
      <c r="C95" s="407" t="s">
        <v>220</v>
      </c>
      <c r="D95" s="408"/>
      <c r="E95" s="468" t="s">
        <v>163</v>
      </c>
      <c r="F95" s="469"/>
      <c r="G95" s="469"/>
      <c r="H95" s="469"/>
      <c r="I95" s="469"/>
      <c r="J95" s="469"/>
      <c r="K95" s="469"/>
      <c r="L95" s="469"/>
      <c r="M95" s="469"/>
      <c r="N95" s="469"/>
      <c r="O95" s="469"/>
      <c r="P95" s="470"/>
    </row>
    <row r="96" spans="2:16">
      <c r="B96" s="5"/>
      <c r="C96" s="409" t="s">
        <v>111</v>
      </c>
      <c r="D96" s="410" t="s">
        <v>109</v>
      </c>
      <c r="E96" s="411">
        <v>1</v>
      </c>
      <c r="F96" s="411">
        <v>2</v>
      </c>
      <c r="G96" s="411">
        <v>3</v>
      </c>
      <c r="H96" s="411">
        <v>4</v>
      </c>
      <c r="I96" s="411">
        <v>5</v>
      </c>
      <c r="J96" s="411">
        <v>6</v>
      </c>
      <c r="K96" s="411">
        <v>7</v>
      </c>
      <c r="L96" s="411">
        <v>8</v>
      </c>
      <c r="M96" s="411">
        <v>9</v>
      </c>
      <c r="N96" s="411">
        <v>10</v>
      </c>
      <c r="O96" s="411">
        <v>11</v>
      </c>
      <c r="P96" s="412">
        <v>12</v>
      </c>
    </row>
    <row r="97" spans="2:16">
      <c r="B97" s="5"/>
      <c r="C97" s="413" t="s">
        <v>221</v>
      </c>
      <c r="D97" s="414" t="s">
        <v>202</v>
      </c>
      <c r="E97" s="405" t="s">
        <v>234</v>
      </c>
      <c r="F97" s="405" t="s">
        <v>235</v>
      </c>
      <c r="G97" s="405" t="s">
        <v>283</v>
      </c>
      <c r="H97" s="405" t="s">
        <v>285</v>
      </c>
      <c r="I97" s="405" t="s">
        <v>284</v>
      </c>
      <c r="J97" s="405" t="s">
        <v>286</v>
      </c>
      <c r="K97" s="405" t="s">
        <v>186</v>
      </c>
      <c r="L97" s="405" t="s">
        <v>187</v>
      </c>
      <c r="M97" s="405" t="s">
        <v>188</v>
      </c>
      <c r="N97" s="405" t="s">
        <v>189</v>
      </c>
      <c r="O97" s="405" t="s">
        <v>190</v>
      </c>
      <c r="P97" s="405" t="s">
        <v>191</v>
      </c>
    </row>
    <row r="98" spans="2:16">
      <c r="B98" s="5"/>
      <c r="C98" s="413" t="s">
        <v>167</v>
      </c>
      <c r="D98" s="415" t="s">
        <v>36</v>
      </c>
      <c r="E98" s="35" t="b">
        <v>1</v>
      </c>
      <c r="F98" s="35" t="b">
        <v>1</v>
      </c>
      <c r="G98" s="35" t="b">
        <v>1</v>
      </c>
      <c r="H98" s="35" t="b">
        <v>1</v>
      </c>
      <c r="I98" s="35" t="b">
        <v>1</v>
      </c>
      <c r="J98" s="35" t="b">
        <v>1</v>
      </c>
      <c r="K98" s="35" t="b">
        <v>0</v>
      </c>
      <c r="L98" s="35" t="b">
        <v>0</v>
      </c>
      <c r="M98" s="35" t="b">
        <v>0</v>
      </c>
      <c r="N98" s="35" t="b">
        <v>0</v>
      </c>
      <c r="O98" s="35" t="b">
        <v>0</v>
      </c>
      <c r="P98" s="35" t="b">
        <v>0</v>
      </c>
    </row>
    <row r="99" spans="2:16" ht="14.25">
      <c r="B99" s="5"/>
      <c r="C99" s="416" t="s">
        <v>164</v>
      </c>
      <c r="D99" s="415" t="s">
        <v>0</v>
      </c>
      <c r="E99" s="433">
        <f>E71</f>
        <v>100</v>
      </c>
      <c r="F99" s="36">
        <f>E71</f>
        <v>100</v>
      </c>
      <c r="G99" s="36">
        <f>E73</f>
        <v>100</v>
      </c>
      <c r="H99" s="36">
        <f>E72</f>
        <v>100</v>
      </c>
      <c r="I99" s="36">
        <f>IF(I98,$E73,"")</f>
        <v>100</v>
      </c>
      <c r="J99" s="36">
        <f>IF(J98,$E72,"")</f>
        <v>100</v>
      </c>
      <c r="K99" s="36" t="str">
        <f t="shared" ref="K99:P99" si="21">IF(K98,$E72,"")</f>
        <v/>
      </c>
      <c r="L99" s="36" t="str">
        <f t="shared" si="21"/>
        <v/>
      </c>
      <c r="M99" s="48" t="str">
        <f t="shared" si="21"/>
        <v/>
      </c>
      <c r="N99" s="36" t="str">
        <f t="shared" si="21"/>
        <v/>
      </c>
      <c r="O99" s="48" t="str">
        <f t="shared" si="21"/>
        <v/>
      </c>
      <c r="P99" s="40" t="str">
        <f t="shared" si="21"/>
        <v/>
      </c>
    </row>
    <row r="100" spans="2:16">
      <c r="B100" s="5"/>
      <c r="C100" s="417" t="s">
        <v>222</v>
      </c>
      <c r="D100" s="418" t="s">
        <v>159</v>
      </c>
      <c r="E100" s="151">
        <f>IF(E$98,DEGREES(BodyAzElRoll(4, E$96, 1)),"")</f>
        <v>0</v>
      </c>
      <c r="F100" s="151">
        <f>IF(F$98,DEGREES(BodyAzElRoll(4, F$96, 1)),"")</f>
        <v>0</v>
      </c>
      <c r="G100" s="151">
        <f>IF(G$98,DEGREES(BodyAzElRoll(4, G$96, 1)),"")</f>
        <v>0</v>
      </c>
      <c r="H100" s="151">
        <f>IF(H$98,DEGREES(BodyAzElRoll(4, H$96, 1)),"")</f>
        <v>0</v>
      </c>
      <c r="I100" s="151">
        <f>IF(I$98,DEGREES(BodyAzElRoll(4, I$96, 1)),"")</f>
        <v>0</v>
      </c>
      <c r="J100" s="151">
        <f>IF(J$98,DEGREES(BodyAzElRoll(4, J$96, 1)),"")</f>
        <v>0</v>
      </c>
      <c r="K100" s="151" t="str">
        <f>IF(K$98,DEGREES(BodyAzElRoll(4, K$96, 1)),"")</f>
        <v/>
      </c>
      <c r="L100" s="151" t="str">
        <f>IF(L$98,DEGREES(BodyAzElRoll(4, L$96, 1)),"")</f>
        <v/>
      </c>
      <c r="M100" s="151" t="str">
        <f>IF(M$98,DEGREES(BodyAzElRoll(4, M$96, 1)),"")</f>
        <v/>
      </c>
      <c r="N100" s="151" t="str">
        <f>IF(N$98,DEGREES(BodyAzElRoll(4, N$96, 1)),"")</f>
        <v/>
      </c>
      <c r="O100" s="151" t="str">
        <f>IF(O$98,DEGREES(BodyAzElRoll(4, O$96, 1)),"")</f>
        <v/>
      </c>
      <c r="P100" s="151" t="str">
        <f>IF(P$98,DEGREES(BodyAzElRoll(4, P$96, 1)),"")</f>
        <v/>
      </c>
    </row>
    <row r="101" spans="2:16">
      <c r="B101" s="5"/>
      <c r="C101" s="416" t="s">
        <v>223</v>
      </c>
      <c r="D101" s="419" t="s">
        <v>159</v>
      </c>
      <c r="E101" s="42">
        <f>IF(E$98,DEGREES(BodyAzElRoll(4, E$96, 2)),"")</f>
        <v>0</v>
      </c>
      <c r="F101" s="42">
        <f>IF(F$98,DEGREES(BodyAzElRoll(4, F$96, 2)),"")</f>
        <v>0</v>
      </c>
      <c r="G101" s="42">
        <f>IF(G$98,DEGREES(BodyAzElRoll(4, G$96, 2)),"")</f>
        <v>90.000000000292403</v>
      </c>
      <c r="H101" s="42">
        <f>IF(H$98,DEGREES(BodyAzElRoll(4, H$96, 2)),"")</f>
        <v>90.000000000292403</v>
      </c>
      <c r="I101" s="42">
        <f>IF(I$98,DEGREES(BodyAzElRoll(4, I$96, 2)),"")</f>
        <v>90.000000000292403</v>
      </c>
      <c r="J101" s="42">
        <f>IF(J$98,DEGREES(BodyAzElRoll(4, J$96, 2)),"")</f>
        <v>90.000000000292403</v>
      </c>
      <c r="K101" s="42" t="str">
        <f>IF(K$98,DEGREES(BodyAzElRoll(4, K$96, 2)),"")</f>
        <v/>
      </c>
      <c r="L101" s="42" t="str">
        <f>IF(L$98,DEGREES(BodyAzElRoll(4, L$96, 2)),"")</f>
        <v/>
      </c>
      <c r="M101" s="42" t="str">
        <f>IF(M$98,DEGREES(BodyAzElRoll(4, M$96, 2)),"")</f>
        <v/>
      </c>
      <c r="N101" s="42" t="str">
        <f>IF(N$98,DEGREES(BodyAzElRoll(4, N$96, 2)),"")</f>
        <v/>
      </c>
      <c r="O101" s="42" t="str">
        <f>IF(O$98,DEGREES(BodyAzElRoll(4, O$96, 2)),"")</f>
        <v/>
      </c>
      <c r="P101" s="42" t="str">
        <f>IF(P$98,DEGREES(BodyAzElRoll(4, P$96, 2)),"")</f>
        <v/>
      </c>
    </row>
    <row r="102" spans="2:16">
      <c r="B102" s="5"/>
      <c r="C102" s="420" t="s">
        <v>224</v>
      </c>
      <c r="D102" s="421" t="s">
        <v>159</v>
      </c>
      <c r="E102" s="90">
        <f>IF(E$98,DEGREES(BodyAzElRoll(4, E$96, 3)),"")</f>
        <v>0</v>
      </c>
      <c r="F102" s="90">
        <f>IF(F$98,DEGREES(BodyAzElRoll(4, F$96, 3)),"")</f>
        <v>180.00000000001185</v>
      </c>
      <c r="G102" s="90">
        <f>IF(G$98,DEGREES(BodyAzElRoll(4, G$96, 3)),"")</f>
        <v>-180.00000000001185</v>
      </c>
      <c r="H102" s="90">
        <f>IF(H$98,DEGREES(BodyAzElRoll(4, H$96, 3)),"")</f>
        <v>-90.000000000005926</v>
      </c>
      <c r="I102" s="90">
        <f>IF(I$98,DEGREES(BodyAzElRoll(4, I$96, 3)),"")</f>
        <v>0</v>
      </c>
      <c r="J102" s="90">
        <f>IF(J$98,DEGREES(BodyAzElRoll(4, J$96, 3)),"")</f>
        <v>90.000000000005926</v>
      </c>
      <c r="K102" s="90" t="str">
        <f>IF(K$98,DEGREES(BodyAzElRoll(4, K$96, 3)),"")</f>
        <v/>
      </c>
      <c r="L102" s="90" t="str">
        <f>IF(L$98,DEGREES(BodyAzElRoll(4, L$96, 3)),"")</f>
        <v/>
      </c>
      <c r="M102" s="90" t="str">
        <f>IF(M$98,DEGREES(BodyAzElRoll(4, M$96, 3)),"")</f>
        <v/>
      </c>
      <c r="N102" s="90" t="str">
        <f>IF(N$98,DEGREES(BodyAzElRoll(4, N$96, 3)),"")</f>
        <v/>
      </c>
      <c r="O102" s="90" t="str">
        <f>IF(O$98,DEGREES(BodyAzElRoll(4, O$96, 3)),"")</f>
        <v/>
      </c>
      <c r="P102" s="90" t="str">
        <f>IF(P$98,DEGREES(BodyAzElRoll(4, P$96, 3)),"")</f>
        <v/>
      </c>
    </row>
    <row r="103" spans="2:16">
      <c r="B103" s="5"/>
      <c r="C103" s="417" t="s">
        <v>226</v>
      </c>
      <c r="D103" s="418" t="s">
        <v>37</v>
      </c>
      <c r="E103" s="153">
        <v>0</v>
      </c>
      <c r="F103" s="153">
        <v>0</v>
      </c>
      <c r="G103" s="153">
        <f>E68/2</f>
        <v>5</v>
      </c>
      <c r="H103" s="153">
        <f>-E68/2</f>
        <v>-5</v>
      </c>
      <c r="I103" s="153">
        <f>E69/2</f>
        <v>5</v>
      </c>
      <c r="J103" s="153">
        <f>-E69/2</f>
        <v>-5</v>
      </c>
      <c r="K103" s="153"/>
      <c r="L103" s="153"/>
      <c r="M103" s="154"/>
      <c r="N103" s="153"/>
      <c r="O103" s="154"/>
      <c r="P103" s="155"/>
    </row>
    <row r="104" spans="2:16">
      <c r="B104" s="5"/>
      <c r="C104" s="416" t="s">
        <v>227</v>
      </c>
      <c r="D104" s="415" t="s">
        <v>37</v>
      </c>
      <c r="E104" s="46">
        <v>0</v>
      </c>
      <c r="F104" s="46">
        <v>0</v>
      </c>
      <c r="G104" s="46">
        <v>0</v>
      </c>
      <c r="H104" s="46">
        <v>0</v>
      </c>
      <c r="I104" s="46">
        <v>0</v>
      </c>
      <c r="J104" s="46">
        <v>0</v>
      </c>
      <c r="K104" s="46"/>
      <c r="L104" s="46"/>
      <c r="M104" s="26"/>
      <c r="N104" s="46"/>
      <c r="O104" s="26"/>
      <c r="P104" s="49"/>
    </row>
    <row r="105" spans="2:16">
      <c r="B105" s="5"/>
      <c r="C105" s="420" t="s">
        <v>228</v>
      </c>
      <c r="D105" s="422" t="s">
        <v>37</v>
      </c>
      <c r="E105" s="157">
        <f>E70/2</f>
        <v>5</v>
      </c>
      <c r="F105" s="157">
        <f>-E70/2</f>
        <v>-5</v>
      </c>
      <c r="G105" s="157">
        <v>0</v>
      </c>
      <c r="H105" s="157">
        <v>0</v>
      </c>
      <c r="I105" s="157">
        <v>0</v>
      </c>
      <c r="J105" s="157">
        <v>0</v>
      </c>
      <c r="K105" s="157"/>
      <c r="L105" s="157"/>
      <c r="M105" s="158"/>
      <c r="N105" s="157"/>
      <c r="O105" s="158"/>
      <c r="P105" s="159"/>
    </row>
    <row r="106" spans="2:16">
      <c r="B106" s="5"/>
      <c r="C106" s="417" t="s">
        <v>200</v>
      </c>
      <c r="D106" s="423" t="s">
        <v>202</v>
      </c>
      <c r="E106" s="178">
        <f t="shared" ref="E106:P106" si="22">IF(E$98,surfaceNormal(RADIANS(E$100),RADIANS(E$101),RADIANS(E$102),1),"")</f>
        <v>0</v>
      </c>
      <c r="F106" s="178">
        <f t="shared" si="22"/>
        <v>0</v>
      </c>
      <c r="G106" s="50">
        <f t="shared" si="22"/>
        <v>1</v>
      </c>
      <c r="H106" s="50">
        <f t="shared" si="22"/>
        <v>1.0341155557737347E-13</v>
      </c>
      <c r="I106" s="50">
        <f t="shared" si="22"/>
        <v>-1</v>
      </c>
      <c r="J106" s="50">
        <f t="shared" si="22"/>
        <v>1.0341155557737347E-13</v>
      </c>
      <c r="K106" s="50" t="str">
        <f t="shared" si="22"/>
        <v/>
      </c>
      <c r="L106" s="50" t="str">
        <f t="shared" si="22"/>
        <v/>
      </c>
      <c r="M106" s="50" t="str">
        <f t="shared" si="22"/>
        <v/>
      </c>
      <c r="N106" s="50" t="str">
        <f t="shared" si="22"/>
        <v/>
      </c>
      <c r="O106" s="50" t="str">
        <f t="shared" si="22"/>
        <v/>
      </c>
      <c r="P106" s="44" t="str">
        <f t="shared" si="22"/>
        <v/>
      </c>
    </row>
    <row r="107" spans="2:16">
      <c r="B107" s="5"/>
      <c r="C107" s="416" t="s">
        <v>199</v>
      </c>
      <c r="D107" s="424" t="s">
        <v>202</v>
      </c>
      <c r="E107" s="36">
        <f t="shared" ref="E107:P107" si="23">IF(E$98,surfaceNormal(RADIANS(E$100),RADIANS(E$101),RADIANS(E$102),2),"")</f>
        <v>0</v>
      </c>
      <c r="F107" s="36">
        <f t="shared" si="23"/>
        <v>2.0682311115474694E-13</v>
      </c>
      <c r="G107" s="43">
        <f t="shared" si="23"/>
        <v>-2.0682311115474694E-13</v>
      </c>
      <c r="H107" s="43">
        <f t="shared" si="23"/>
        <v>1</v>
      </c>
      <c r="I107" s="43">
        <f t="shared" si="23"/>
        <v>0</v>
      </c>
      <c r="J107" s="43">
        <f t="shared" si="23"/>
        <v>-1</v>
      </c>
      <c r="K107" s="43" t="str">
        <f t="shared" si="23"/>
        <v/>
      </c>
      <c r="L107" s="43" t="str">
        <f t="shared" si="23"/>
        <v/>
      </c>
      <c r="M107" s="43" t="str">
        <f t="shared" si="23"/>
        <v/>
      </c>
      <c r="N107" s="43" t="str">
        <f t="shared" si="23"/>
        <v/>
      </c>
      <c r="O107" s="43" t="str">
        <f t="shared" si="23"/>
        <v/>
      </c>
      <c r="P107" s="44" t="str">
        <f t="shared" si="23"/>
        <v/>
      </c>
    </row>
    <row r="108" spans="2:16">
      <c r="B108" s="5"/>
      <c r="C108" s="420" t="s">
        <v>201</v>
      </c>
      <c r="D108" s="425" t="s">
        <v>202</v>
      </c>
      <c r="E108" s="160">
        <f>IF(E$98,surfaceNormal(RADIANS(E$100),RADIANS(E$101),RADIANS(E$102),3),"")</f>
        <v>1</v>
      </c>
      <c r="F108" s="160">
        <f t="shared" ref="F108:P108" si="24">IF(F$98,surfaceNormal(RADIANS(F$100),RADIANS(F$101),RADIANS(F$102),3),"")</f>
        <v>-1</v>
      </c>
      <c r="G108" s="161">
        <f t="shared" si="24"/>
        <v>5.1034119692792285E-12</v>
      </c>
      <c r="H108" s="161">
        <f t="shared" si="24"/>
        <v>5.2775177049535193E-25</v>
      </c>
      <c r="I108" s="161">
        <f t="shared" si="24"/>
        <v>-5.1034119692792285E-12</v>
      </c>
      <c r="J108" s="161">
        <f t="shared" si="24"/>
        <v>5.2775177049535193E-25</v>
      </c>
      <c r="K108" s="161" t="str">
        <f t="shared" si="24"/>
        <v/>
      </c>
      <c r="L108" s="161" t="str">
        <f t="shared" si="24"/>
        <v/>
      </c>
      <c r="M108" s="161" t="str">
        <f t="shared" si="24"/>
        <v/>
      </c>
      <c r="N108" s="161" t="str">
        <f t="shared" si="24"/>
        <v/>
      </c>
      <c r="O108" s="161" t="str">
        <f t="shared" si="24"/>
        <v/>
      </c>
      <c r="P108" s="162" t="str">
        <f t="shared" si="24"/>
        <v/>
      </c>
    </row>
    <row r="109" spans="2:16">
      <c r="B109" s="5"/>
      <c r="C109" s="416" t="s">
        <v>203</v>
      </c>
      <c r="D109" s="415" t="s">
        <v>37</v>
      </c>
      <c r="E109" s="46"/>
      <c r="F109" s="46"/>
      <c r="G109" s="46"/>
      <c r="H109" s="46"/>
      <c r="I109" s="46"/>
      <c r="J109" s="46"/>
      <c r="K109" s="46"/>
      <c r="L109" s="46"/>
      <c r="M109" s="26"/>
      <c r="N109" s="46"/>
      <c r="O109" s="26"/>
      <c r="P109" s="49"/>
    </row>
    <row r="110" spans="2:16">
      <c r="B110" s="5"/>
      <c r="C110" s="416" t="s">
        <v>204</v>
      </c>
      <c r="D110" s="415" t="s">
        <v>37</v>
      </c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9"/>
    </row>
    <row r="111" spans="2:16">
      <c r="B111" s="5"/>
      <c r="C111" s="420" t="s">
        <v>205</v>
      </c>
      <c r="D111" s="422" t="s">
        <v>37</v>
      </c>
      <c r="E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9"/>
    </row>
    <row r="112" spans="2:16">
      <c r="B112" s="5"/>
      <c r="C112" s="416" t="s">
        <v>206</v>
      </c>
      <c r="D112" s="415" t="s">
        <v>37</v>
      </c>
      <c r="E112" s="46"/>
      <c r="F112" s="46"/>
      <c r="G112" s="46"/>
      <c r="H112" s="46"/>
      <c r="I112" s="46"/>
      <c r="J112" s="46"/>
      <c r="K112" s="46"/>
      <c r="L112" s="46"/>
      <c r="M112" s="26"/>
      <c r="N112" s="46"/>
      <c r="O112" s="26"/>
      <c r="P112" s="49"/>
    </row>
    <row r="113" spans="2:16">
      <c r="B113" s="5"/>
      <c r="C113" s="416" t="s">
        <v>207</v>
      </c>
      <c r="D113" s="415" t="s">
        <v>37</v>
      </c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9"/>
    </row>
    <row r="114" spans="2:16" ht="13.5" thickBot="1">
      <c r="B114" s="5"/>
      <c r="C114" s="426" t="s">
        <v>208</v>
      </c>
      <c r="D114" s="427" t="s">
        <v>37</v>
      </c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8"/>
    </row>
    <row r="115" spans="2:16" ht="13.5" thickBot="1"/>
    <row r="116" spans="2:16">
      <c r="C116" s="407" t="s">
        <v>225</v>
      </c>
      <c r="D116" s="428"/>
      <c r="E116" s="468" t="s">
        <v>195</v>
      </c>
      <c r="F116" s="469"/>
      <c r="G116" s="469"/>
      <c r="H116" s="469"/>
      <c r="I116" s="469"/>
      <c r="J116" s="469"/>
      <c r="K116" s="469"/>
      <c r="L116" s="470"/>
      <c r="N116" s="21" t="s">
        <v>112</v>
      </c>
      <c r="O116" s="181">
        <v>3</v>
      </c>
    </row>
    <row r="117" spans="2:16">
      <c r="C117" s="409" t="s">
        <v>111</v>
      </c>
      <c r="D117" s="410" t="s">
        <v>109</v>
      </c>
      <c r="E117" s="411">
        <v>13</v>
      </c>
      <c r="F117" s="411">
        <v>14</v>
      </c>
      <c r="G117" s="411">
        <v>16</v>
      </c>
      <c r="H117" s="411">
        <v>16</v>
      </c>
      <c r="I117" s="411">
        <v>17</v>
      </c>
      <c r="J117" s="431">
        <v>18</v>
      </c>
      <c r="K117" s="411">
        <v>19</v>
      </c>
      <c r="L117" s="412">
        <v>20</v>
      </c>
      <c r="N117" s="22" t="s">
        <v>168</v>
      </c>
      <c r="O117" s="182">
        <v>4</v>
      </c>
    </row>
    <row r="118" spans="2:16" ht="13.5" thickBot="1">
      <c r="C118" s="429" t="s">
        <v>185</v>
      </c>
      <c r="D118" s="414" t="s">
        <v>202</v>
      </c>
      <c r="E118" s="35" t="str">
        <f>E80</f>
        <v>Wing 1</v>
      </c>
      <c r="F118" s="35" t="str">
        <f t="shared" ref="F118:L118" si="25">F80</f>
        <v>Wing 2</v>
      </c>
      <c r="G118" s="35" t="str">
        <f t="shared" si="25"/>
        <v>Left Tail</v>
      </c>
      <c r="H118" s="35" t="str">
        <f t="shared" si="25"/>
        <v>P-Right</v>
      </c>
      <c r="I118" s="35" t="str">
        <f t="shared" si="25"/>
        <v>P-Left</v>
      </c>
      <c r="J118" s="35" t="str">
        <f t="shared" si="25"/>
        <v>Panel 6</v>
      </c>
      <c r="K118" s="35" t="str">
        <f t="shared" si="25"/>
        <v>Panel 7</v>
      </c>
      <c r="L118" s="39" t="str">
        <f t="shared" si="25"/>
        <v>Panel 8</v>
      </c>
      <c r="N118" s="23" t="s">
        <v>169</v>
      </c>
      <c r="O118" s="182">
        <v>5</v>
      </c>
    </row>
    <row r="119" spans="2:16">
      <c r="C119" s="413" t="s">
        <v>167</v>
      </c>
      <c r="D119" s="415" t="s">
        <v>36</v>
      </c>
      <c r="E119" s="35" t="b">
        <f t="shared" ref="E119:L119" si="26">E81</f>
        <v>0</v>
      </c>
      <c r="F119" s="35" t="b">
        <f t="shared" si="26"/>
        <v>0</v>
      </c>
      <c r="G119" s="35" t="b">
        <f t="shared" si="26"/>
        <v>0</v>
      </c>
      <c r="H119" s="35" t="b">
        <f t="shared" si="26"/>
        <v>0</v>
      </c>
      <c r="I119" s="35" t="b">
        <f t="shared" si="26"/>
        <v>0</v>
      </c>
      <c r="J119" s="35" t="b">
        <f t="shared" si="26"/>
        <v>0</v>
      </c>
      <c r="K119" s="35" t="b">
        <f t="shared" si="26"/>
        <v>0</v>
      </c>
      <c r="L119" s="39" t="b">
        <f t="shared" si="26"/>
        <v>0</v>
      </c>
      <c r="M119" s="175"/>
      <c r="N119" s="175"/>
      <c r="O119" s="183">
        <v>6</v>
      </c>
    </row>
    <row r="120" spans="2:16">
      <c r="C120" s="416" t="s">
        <v>72</v>
      </c>
      <c r="D120" s="430" t="s">
        <v>202</v>
      </c>
      <c r="E120" s="35" t="str">
        <f t="shared" ref="E120:L120" si="27">IF(E119,E82,"")</f>
        <v/>
      </c>
      <c r="F120" s="35" t="str">
        <f t="shared" si="27"/>
        <v/>
      </c>
      <c r="G120" s="35" t="str">
        <f t="shared" si="27"/>
        <v/>
      </c>
      <c r="H120" s="35" t="str">
        <f t="shared" si="27"/>
        <v/>
      </c>
      <c r="I120" s="35" t="str">
        <f t="shared" si="27"/>
        <v/>
      </c>
      <c r="J120" s="35" t="str">
        <f t="shared" si="27"/>
        <v/>
      </c>
      <c r="K120" s="35" t="str">
        <f t="shared" si="27"/>
        <v/>
      </c>
      <c r="L120" s="39" t="str">
        <f t="shared" si="27"/>
        <v/>
      </c>
      <c r="M120" s="175"/>
      <c r="N120" s="175"/>
      <c r="O120" s="184">
        <v>7</v>
      </c>
    </row>
    <row r="121" spans="2:16" ht="14.25">
      <c r="C121" s="416" t="s">
        <v>164</v>
      </c>
      <c r="D121" s="415" t="s">
        <v>0</v>
      </c>
      <c r="E121" s="36" t="str">
        <f t="shared" ref="E121:L121" si="28">IF(E119,E90,"")</f>
        <v/>
      </c>
      <c r="F121" s="36" t="str">
        <f t="shared" si="28"/>
        <v/>
      </c>
      <c r="G121" s="36" t="str">
        <f t="shared" si="28"/>
        <v/>
      </c>
      <c r="H121" s="36" t="str">
        <f t="shared" si="28"/>
        <v/>
      </c>
      <c r="I121" s="36" t="str">
        <f t="shared" si="28"/>
        <v/>
      </c>
      <c r="J121" s="36" t="str">
        <f t="shared" si="28"/>
        <v/>
      </c>
      <c r="K121" s="36" t="str">
        <f t="shared" si="28"/>
        <v/>
      </c>
      <c r="L121" s="40" t="str">
        <f t="shared" si="28"/>
        <v/>
      </c>
      <c r="M121" s="176"/>
      <c r="N121" s="176"/>
      <c r="O121" s="184">
        <v>8</v>
      </c>
    </row>
    <row r="122" spans="2:16">
      <c r="B122" s="5"/>
      <c r="C122" s="417" t="s">
        <v>222</v>
      </c>
      <c r="D122" s="418" t="s">
        <v>159</v>
      </c>
      <c r="E122" s="151" t="str">
        <f t="shared" ref="E122:L124" si="29">IF(E$119,E85,"")</f>
        <v/>
      </c>
      <c r="F122" s="151" t="str">
        <f t="shared" si="29"/>
        <v/>
      </c>
      <c r="G122" s="151" t="str">
        <f t="shared" si="29"/>
        <v/>
      </c>
      <c r="H122" s="151" t="str">
        <f t="shared" si="29"/>
        <v/>
      </c>
      <c r="I122" s="151" t="str">
        <f t="shared" si="29"/>
        <v/>
      </c>
      <c r="J122" s="151" t="str">
        <f t="shared" si="29"/>
        <v/>
      </c>
      <c r="K122" s="151" t="str">
        <f t="shared" si="29"/>
        <v/>
      </c>
      <c r="L122" s="152" t="str">
        <f t="shared" si="29"/>
        <v/>
      </c>
      <c r="M122" s="20"/>
      <c r="N122" s="20"/>
      <c r="O122" s="184">
        <v>9</v>
      </c>
    </row>
    <row r="123" spans="2:16" ht="13.5" thickBot="1">
      <c r="B123" s="53"/>
      <c r="C123" s="416" t="s">
        <v>223</v>
      </c>
      <c r="D123" s="419" t="s">
        <v>159</v>
      </c>
      <c r="E123" s="42" t="str">
        <f t="shared" si="29"/>
        <v/>
      </c>
      <c r="F123" s="42" t="str">
        <f t="shared" si="29"/>
        <v/>
      </c>
      <c r="G123" s="42" t="str">
        <f t="shared" si="29"/>
        <v/>
      </c>
      <c r="H123" s="42" t="str">
        <f t="shared" si="29"/>
        <v/>
      </c>
      <c r="I123" s="42" t="str">
        <f t="shared" si="29"/>
        <v/>
      </c>
      <c r="J123" s="42" t="str">
        <f t="shared" si="29"/>
        <v/>
      </c>
      <c r="K123" s="42" t="str">
        <f t="shared" si="29"/>
        <v/>
      </c>
      <c r="L123" s="45" t="str">
        <f t="shared" si="29"/>
        <v/>
      </c>
      <c r="M123" s="20"/>
      <c r="N123" s="20"/>
      <c r="O123" s="185">
        <v>10</v>
      </c>
    </row>
    <row r="124" spans="2:16">
      <c r="B124" s="53"/>
      <c r="C124" s="420" t="s">
        <v>224</v>
      </c>
      <c r="D124" s="421" t="s">
        <v>159</v>
      </c>
      <c r="E124" s="90" t="str">
        <f t="shared" si="29"/>
        <v/>
      </c>
      <c r="F124" s="90" t="str">
        <f t="shared" si="29"/>
        <v/>
      </c>
      <c r="G124" s="90" t="str">
        <f t="shared" si="29"/>
        <v/>
      </c>
      <c r="H124" s="90" t="str">
        <f t="shared" si="29"/>
        <v/>
      </c>
      <c r="I124" s="90" t="str">
        <f t="shared" si="29"/>
        <v/>
      </c>
      <c r="J124" s="90" t="str">
        <f t="shared" si="29"/>
        <v/>
      </c>
      <c r="K124" s="90" t="str">
        <f t="shared" si="29"/>
        <v/>
      </c>
      <c r="L124" s="179" t="str">
        <f t="shared" si="29"/>
        <v/>
      </c>
      <c r="M124" s="20"/>
      <c r="N124" s="20"/>
    </row>
    <row r="125" spans="2:16">
      <c r="C125" s="417" t="s">
        <v>226</v>
      </c>
      <c r="D125" s="418" t="s">
        <v>37</v>
      </c>
      <c r="E125" s="153" t="str">
        <f>IF(E$119,PanelSurfacePosition(E$88,E$89,E$122:E$124,1),"")</f>
        <v/>
      </c>
      <c r="F125" s="153" t="str">
        <f>IF(F$119,PanelSurfacePosition(F$88,F$89,F$122:F$124,1),"")</f>
        <v/>
      </c>
      <c r="G125" s="153" t="str">
        <f>IF(G$119,PanelSurfacePosition(G$88,G$89,G$122:G$124,1),"")</f>
        <v/>
      </c>
      <c r="H125" s="153" t="str">
        <f>IF(H$119,PanelSurfacePosition(H$88,H$89,H$122:H$124,1),"")</f>
        <v/>
      </c>
      <c r="I125" s="153" t="str">
        <f>IF(I$119,PanelSurfacePosition(I$88,I$89,I$122:I$124,1),"")</f>
        <v/>
      </c>
      <c r="J125" s="153" t="str">
        <f>IF(J$119,PanelSurfacePosition(J$88,J$89,J$122:J$124,1),"")</f>
        <v/>
      </c>
      <c r="K125" s="153" t="str">
        <f>IF(K$119,PanelSurfacePosition(K$88,K$89,K$122:K$124,1),"")</f>
        <v/>
      </c>
      <c r="L125" s="155" t="str">
        <f>IF(L$119,PanelSurfacePosition(L$88,L$89,L$122:L$124,1),"")</f>
        <v/>
      </c>
      <c r="M125" s="166"/>
      <c r="N125" s="166"/>
      <c r="O125" s="166"/>
    </row>
    <row r="126" spans="2:16">
      <c r="C126" s="416" t="s">
        <v>227</v>
      </c>
      <c r="D126" s="415" t="s">
        <v>37</v>
      </c>
      <c r="E126" s="46" t="str">
        <f>IF(E$119,PanelSurfacePosition(E$88,E$89,E$122:E$124,2),"")</f>
        <v/>
      </c>
      <c r="F126" s="46" t="str">
        <f>IF(F$119,PanelSurfacePosition(F$88,F$89,F$122:F$124,2),"")</f>
        <v/>
      </c>
      <c r="G126" s="46" t="str">
        <f>IF(G$119,PanelSurfacePosition(G$88,G$89,G$122:G$124,2),"")</f>
        <v/>
      </c>
      <c r="H126" s="46" t="str">
        <f>IF(H$119,PanelSurfacePosition(H$88,H$89,H$122:H$124,2),"")</f>
        <v/>
      </c>
      <c r="I126" s="46" t="str">
        <f>IF(I$119,PanelSurfacePosition(I$88,I$89,I$122:I$124,2),"")</f>
        <v/>
      </c>
      <c r="J126" s="46" t="str">
        <f>IF(J$119,PanelSurfacePosition(J$88,J$89,J$122:J$124,2),"")</f>
        <v/>
      </c>
      <c r="K126" s="46" t="str">
        <f>IF(K$119,PanelSurfacePosition(K$88,K$89,K$122:K$124,2),"")</f>
        <v/>
      </c>
      <c r="L126" s="49" t="str">
        <f>IF(L$119,PanelSurfacePosition(L$88,L$89,L$122:L$124,2),"")</f>
        <v/>
      </c>
      <c r="M126" s="166"/>
      <c r="N126" s="166"/>
      <c r="O126" s="166"/>
    </row>
    <row r="127" spans="2:16">
      <c r="C127" s="420" t="s">
        <v>228</v>
      </c>
      <c r="D127" s="422" t="s">
        <v>37</v>
      </c>
      <c r="E127" s="157" t="str">
        <f>IF(E$119,PanelSurfacePosition(E$88,E$89,E$122:E$124,3),"")</f>
        <v/>
      </c>
      <c r="F127" s="157" t="str">
        <f>IF(F$119,PanelSurfacePosition(F$88,F$89,F$122:F$124,3),"")</f>
        <v/>
      </c>
      <c r="G127" s="157" t="str">
        <f>IF(G$119,PanelSurfacePosition(G$88,G$89,G$122:G$124,3),"")</f>
        <v/>
      </c>
      <c r="H127" s="157" t="str">
        <f>IF(H$119,PanelSurfacePosition(H$88,H$89,H$122:H$124,3),"")</f>
        <v/>
      </c>
      <c r="I127" s="157" t="str">
        <f>IF(I$119,PanelSurfacePosition(I$88,I$89,I$122:I$124,3),"")</f>
        <v/>
      </c>
      <c r="J127" s="157" t="str">
        <f>IF(J$119,PanelSurfacePosition(J$88,J$89,J$122:J$124,3),"")</f>
        <v/>
      </c>
      <c r="K127" s="157" t="str">
        <f>IF(K$119,PanelSurfacePosition(K$88,K$89,K$122:K$124,3),"")</f>
        <v/>
      </c>
      <c r="L127" s="159" t="str">
        <f>IF(L$119,PanelSurfacePosition(L$88,L$89,L$122:L$124,3),"")</f>
        <v/>
      </c>
      <c r="M127" s="166"/>
      <c r="N127" s="166"/>
      <c r="O127" s="166"/>
    </row>
    <row r="128" spans="2:16">
      <c r="C128" s="417" t="s">
        <v>192</v>
      </c>
      <c r="D128" s="423" t="s">
        <v>202</v>
      </c>
      <c r="E128" s="50" t="str">
        <f>IF(E$81,surfaceNormal(RADIANS(E$122),RADIANS(E$123),RADIANS(E$124),1),"")</f>
        <v/>
      </c>
      <c r="F128" s="50" t="str">
        <f>IF(F$81,surfaceNormal(RADIANS(F$122),RADIANS(F$123),RADIANS(F$124),1),"")</f>
        <v/>
      </c>
      <c r="G128" s="50" t="str">
        <f>IF(G$81,surfaceNormal(RADIANS(G$122),RADIANS(G$123),RADIANS(G$124),1),"")</f>
        <v/>
      </c>
      <c r="H128" s="50" t="str">
        <f>IF(H$81,surfaceNormal(RADIANS(H$122),RADIANS(H$123),RADIANS(H$124),1),"")</f>
        <v/>
      </c>
      <c r="I128" s="50" t="str">
        <f>IF(I$81,surfaceNormal(RADIANS(I$122),RADIANS(I$123),RADIANS(I$124),1),"")</f>
        <v/>
      </c>
      <c r="J128" s="50" t="str">
        <f>IF(J$81,surfaceNormal(RADIANS(J$122),RADIANS(J$123),RADIANS(J$124),1),"")</f>
        <v/>
      </c>
      <c r="K128" s="50" t="str">
        <f>IF(K$81,surfaceNormal(RADIANS(K$122),RADIANS(K$123),RADIANS(K$124),1),"")</f>
        <v/>
      </c>
      <c r="L128" s="169" t="str">
        <f>IF(L$81,surfaceNormal(RADIANS(L$122),RADIANS(L$123),RADIANS(L$124),1),"")</f>
        <v/>
      </c>
      <c r="M128" s="177"/>
      <c r="N128" s="177"/>
      <c r="O128" s="177"/>
    </row>
    <row r="129" spans="3:16">
      <c r="C129" s="416" t="s">
        <v>193</v>
      </c>
      <c r="D129" s="424" t="s">
        <v>202</v>
      </c>
      <c r="E129" s="43" t="str">
        <f>IF(E$81,surfaceNormal(RADIANS(E$122),RADIANS(E$123),RADIANS(E$124),2),"")</f>
        <v/>
      </c>
      <c r="F129" s="43" t="str">
        <f>IF(F$81,surfaceNormal(RADIANS(F$122),RADIANS(F$123),RADIANS(F$124),2),"")</f>
        <v/>
      </c>
      <c r="G129" s="43" t="str">
        <f>IF(G$81,surfaceNormal(RADIANS(G$122),RADIANS(G$123),RADIANS(G$124),2),"")</f>
        <v/>
      </c>
      <c r="H129" s="43" t="str">
        <f>IF(H$81,surfaceNormal(RADIANS(H$122),RADIANS(H$123),RADIANS(H$124),2),"")</f>
        <v/>
      </c>
      <c r="I129" s="43" t="str">
        <f>IF(I$81,surfaceNormal(RADIANS(I$122),RADIANS(I$123),RADIANS(I$124),2),"")</f>
        <v/>
      </c>
      <c r="J129" s="43" t="str">
        <f>IF(J$81,surfaceNormal(RADIANS(J$122),RADIANS(J$123),RADIANS(J$124),2),"")</f>
        <v/>
      </c>
      <c r="K129" s="43" t="str">
        <f>IF(K$81,surfaceNormal(RADIANS(K$122),RADIANS(K$123),RADIANS(K$124),2),"")</f>
        <v/>
      </c>
      <c r="L129" s="44" t="str">
        <f>IF(L$81,surfaceNormal(RADIANS(L$122),RADIANS(L$123),RADIANS(L$124),2),"")</f>
        <v/>
      </c>
      <c r="M129" s="177"/>
      <c r="N129" s="177"/>
      <c r="O129" s="177"/>
    </row>
    <row r="130" spans="3:16">
      <c r="C130" s="420" t="s">
        <v>194</v>
      </c>
      <c r="D130" s="425" t="s">
        <v>202</v>
      </c>
      <c r="E130" s="161" t="str">
        <f>IF(E$81,surfaceNormal(RADIANS(E$122),RADIANS(E$123),RADIANS(E$124),3),"")</f>
        <v/>
      </c>
      <c r="F130" s="161" t="str">
        <f>IF(F$81,surfaceNormal(RADIANS(F$122),RADIANS(F$123),RADIANS(F$124),3),"")</f>
        <v/>
      </c>
      <c r="G130" s="161" t="str">
        <f>IF(G$81,surfaceNormal(RADIANS(G$122),RADIANS(G$123),RADIANS(G$124),3),"")</f>
        <v/>
      </c>
      <c r="H130" s="161" t="str">
        <f>IF(H$81,surfaceNormal(RADIANS(H$122),RADIANS(H$123),RADIANS(H$124),3),"")</f>
        <v/>
      </c>
      <c r="I130" s="161" t="str">
        <f>IF(I$81,surfaceNormal(RADIANS(I$122),RADIANS(I$123),RADIANS(I$124),3),"")</f>
        <v/>
      </c>
      <c r="J130" s="161" t="str">
        <f>IF(J$81,surfaceNormal(RADIANS(J$122),RADIANS(J$123),RADIANS(J$124),3),"")</f>
        <v/>
      </c>
      <c r="K130" s="161" t="str">
        <f>IF(K$81,surfaceNormal(RADIANS(K$122),RADIANS(K$123),RADIANS(K$124),3),"")</f>
        <v/>
      </c>
      <c r="L130" s="162" t="str">
        <f>IF(L$81,surfaceNormal(RADIANS(L$122),RADIANS(L$123),RADIANS(L$124),3),"")</f>
        <v/>
      </c>
      <c r="M130" s="177"/>
      <c r="N130" s="177"/>
      <c r="O130" s="177"/>
    </row>
    <row r="131" spans="3:16">
      <c r="C131" s="416" t="s">
        <v>203</v>
      </c>
      <c r="D131" s="415" t="s">
        <v>37</v>
      </c>
      <c r="E131" s="46" t="str">
        <f t="shared" ref="E131:L131" si="30">IF(E$119,E$83/2,"")</f>
        <v/>
      </c>
      <c r="F131" s="46" t="str">
        <f t="shared" si="30"/>
        <v/>
      </c>
      <c r="G131" s="46" t="str">
        <f t="shared" si="30"/>
        <v/>
      </c>
      <c r="H131" s="46" t="str">
        <f t="shared" si="30"/>
        <v/>
      </c>
      <c r="I131" s="46" t="str">
        <f t="shared" si="30"/>
        <v/>
      </c>
      <c r="J131" s="46" t="str">
        <f t="shared" si="30"/>
        <v/>
      </c>
      <c r="K131" s="46" t="str">
        <f t="shared" si="30"/>
        <v/>
      </c>
      <c r="L131" s="49" t="str">
        <f t="shared" si="30"/>
        <v/>
      </c>
      <c r="M131" s="166"/>
      <c r="N131" s="166"/>
      <c r="O131" s="166"/>
    </row>
    <row r="132" spans="3:16">
      <c r="C132" s="416" t="s">
        <v>204</v>
      </c>
      <c r="D132" s="415" t="s">
        <v>37</v>
      </c>
      <c r="E132" s="46" t="str">
        <f t="shared" ref="E132:L133" si="31">IF(E$119,0,"")</f>
        <v/>
      </c>
      <c r="F132" s="46" t="str">
        <f t="shared" si="31"/>
        <v/>
      </c>
      <c r="G132" s="46" t="str">
        <f t="shared" si="31"/>
        <v/>
      </c>
      <c r="H132" s="46" t="str">
        <f t="shared" si="31"/>
        <v/>
      </c>
      <c r="I132" s="46" t="str">
        <f t="shared" si="31"/>
        <v/>
      </c>
      <c r="J132" s="46" t="str">
        <f t="shared" si="31"/>
        <v/>
      </c>
      <c r="K132" s="46" t="str">
        <f t="shared" si="31"/>
        <v/>
      </c>
      <c r="L132" s="49" t="str">
        <f t="shared" si="31"/>
        <v/>
      </c>
      <c r="M132" s="166"/>
      <c r="N132" s="166"/>
      <c r="O132" s="166"/>
    </row>
    <row r="133" spans="3:16">
      <c r="C133" s="420" t="s">
        <v>205</v>
      </c>
      <c r="D133" s="422" t="s">
        <v>37</v>
      </c>
      <c r="E133" s="157" t="str">
        <f t="shared" si="31"/>
        <v/>
      </c>
      <c r="F133" s="157" t="str">
        <f t="shared" si="31"/>
        <v/>
      </c>
      <c r="G133" s="157" t="str">
        <f t="shared" si="31"/>
        <v/>
      </c>
      <c r="H133" s="157" t="str">
        <f t="shared" si="31"/>
        <v/>
      </c>
      <c r="I133" s="157" t="str">
        <f t="shared" si="31"/>
        <v/>
      </c>
      <c r="J133" s="157" t="str">
        <f t="shared" si="31"/>
        <v/>
      </c>
      <c r="K133" s="157" t="str">
        <f t="shared" si="31"/>
        <v/>
      </c>
      <c r="L133" s="159" t="str">
        <f t="shared" si="31"/>
        <v/>
      </c>
      <c r="M133" s="166"/>
      <c r="N133" s="166"/>
      <c r="O133" s="166"/>
    </row>
    <row r="134" spans="3:16">
      <c r="C134" s="416" t="s">
        <v>206</v>
      </c>
      <c r="D134" s="415" t="s">
        <v>37</v>
      </c>
      <c r="E134" s="46" t="str">
        <f t="shared" ref="E134:L134" si="32">IF(E$119,SCSVectorToBody(E$131:E$133,E$125:E$127,E$122:E$124,1),"")</f>
        <v/>
      </c>
      <c r="F134" s="46" t="str">
        <f t="shared" si="32"/>
        <v/>
      </c>
      <c r="G134" s="46" t="str">
        <f t="shared" si="32"/>
        <v/>
      </c>
      <c r="H134" s="46" t="str">
        <f t="shared" si="32"/>
        <v/>
      </c>
      <c r="I134" s="46" t="str">
        <f t="shared" si="32"/>
        <v/>
      </c>
      <c r="J134" s="46" t="str">
        <f t="shared" si="32"/>
        <v/>
      </c>
      <c r="K134" s="46" t="str">
        <f t="shared" si="32"/>
        <v/>
      </c>
      <c r="L134" s="49" t="str">
        <f t="shared" si="32"/>
        <v/>
      </c>
      <c r="M134" s="166"/>
      <c r="N134" s="166"/>
      <c r="O134" s="166"/>
    </row>
    <row r="135" spans="3:16">
      <c r="C135" s="416" t="s">
        <v>207</v>
      </c>
      <c r="D135" s="415" t="s">
        <v>37</v>
      </c>
      <c r="E135" s="46" t="str">
        <f t="shared" ref="E135:L135" si="33">IF(E$119,SCSVectorToBody(E$131:E$133,E$125:E$127,E$122:E$124,2),"")</f>
        <v/>
      </c>
      <c r="F135" s="46" t="str">
        <f t="shared" si="33"/>
        <v/>
      </c>
      <c r="G135" s="46" t="str">
        <f t="shared" si="33"/>
        <v/>
      </c>
      <c r="H135" s="46" t="str">
        <f t="shared" si="33"/>
        <v/>
      </c>
      <c r="I135" s="46" t="str">
        <f t="shared" si="33"/>
        <v/>
      </c>
      <c r="J135" s="46" t="str">
        <f t="shared" si="33"/>
        <v/>
      </c>
      <c r="K135" s="46" t="str">
        <f t="shared" si="33"/>
        <v/>
      </c>
      <c r="L135" s="49" t="str">
        <f t="shared" si="33"/>
        <v/>
      </c>
      <c r="M135" s="166"/>
      <c r="N135" s="166"/>
      <c r="O135" s="166"/>
    </row>
    <row r="136" spans="3:16" ht="13.5" thickBot="1">
      <c r="C136" s="426" t="s">
        <v>208</v>
      </c>
      <c r="D136" s="427" t="s">
        <v>37</v>
      </c>
      <c r="E136" s="167" t="str">
        <f t="shared" ref="E136:L136" si="34">IF(E$119,SCSVectorToBody(E$131:E$133,E$125:E$127,E$122:E$124,3),"")</f>
        <v/>
      </c>
      <c r="F136" s="167" t="str">
        <f t="shared" si="34"/>
        <v/>
      </c>
      <c r="G136" s="167" t="str">
        <f t="shared" si="34"/>
        <v/>
      </c>
      <c r="H136" s="167" t="str">
        <f t="shared" si="34"/>
        <v/>
      </c>
      <c r="I136" s="167" t="str">
        <f t="shared" si="34"/>
        <v/>
      </c>
      <c r="J136" s="167" t="str">
        <f t="shared" si="34"/>
        <v/>
      </c>
      <c r="K136" s="167" t="str">
        <f t="shared" si="34"/>
        <v/>
      </c>
      <c r="L136" s="168" t="str">
        <f t="shared" si="34"/>
        <v/>
      </c>
      <c r="M136" s="166"/>
      <c r="N136" s="166"/>
      <c r="O136" s="166"/>
    </row>
    <row r="138" spans="3:16" s="5" customFormat="1" ht="13.5" thickBot="1"/>
    <row r="139" spans="3:16" s="5" customFormat="1">
      <c r="C139" s="407" t="s">
        <v>220</v>
      </c>
      <c r="D139" s="408"/>
      <c r="E139" s="468" t="s">
        <v>163</v>
      </c>
      <c r="F139" s="469"/>
      <c r="G139" s="469"/>
      <c r="H139" s="469"/>
      <c r="I139" s="469"/>
      <c r="J139" s="469"/>
      <c r="K139" s="469"/>
      <c r="L139" s="469"/>
      <c r="M139" s="469"/>
      <c r="N139" s="469"/>
      <c r="O139" s="469"/>
      <c r="P139" s="470"/>
    </row>
    <row r="140" spans="3:16" s="5" customFormat="1">
      <c r="C140" s="409" t="s">
        <v>111</v>
      </c>
      <c r="D140" s="410" t="s">
        <v>109</v>
      </c>
      <c r="E140" s="411">
        <v>1</v>
      </c>
      <c r="F140" s="411">
        <v>2</v>
      </c>
      <c r="G140" s="411">
        <v>3</v>
      </c>
      <c r="H140" s="411">
        <v>4</v>
      </c>
      <c r="I140" s="411">
        <v>5</v>
      </c>
      <c r="J140" s="411">
        <v>6</v>
      </c>
      <c r="K140" s="411">
        <v>7</v>
      </c>
      <c r="L140" s="411">
        <v>8</v>
      </c>
      <c r="M140" s="411">
        <v>9</v>
      </c>
      <c r="N140" s="411">
        <v>10</v>
      </c>
      <c r="O140" s="411">
        <v>11</v>
      </c>
      <c r="P140" s="412">
        <v>12</v>
      </c>
    </row>
    <row r="141" spans="3:16" s="5" customFormat="1">
      <c r="C141" s="413" t="s">
        <v>221</v>
      </c>
      <c r="D141" s="414" t="s">
        <v>202</v>
      </c>
      <c r="E141" s="301"/>
      <c r="F141" s="301"/>
      <c r="G141" s="301"/>
      <c r="H141" s="301"/>
      <c r="I141" s="301"/>
      <c r="J141" s="301"/>
      <c r="K141" s="301"/>
      <c r="L141" s="301"/>
      <c r="M141" s="302"/>
      <c r="N141" s="301"/>
      <c r="O141" s="302"/>
      <c r="P141" s="303"/>
    </row>
    <row r="142" spans="3:16" s="5" customFormat="1">
      <c r="C142" s="413" t="s">
        <v>167</v>
      </c>
      <c r="D142" s="415" t="s">
        <v>36</v>
      </c>
      <c r="E142" s="270"/>
      <c r="F142" s="270"/>
      <c r="G142" s="270"/>
      <c r="H142" s="270"/>
      <c r="I142" s="270"/>
      <c r="J142" s="270"/>
      <c r="K142" s="270"/>
      <c r="L142" s="270"/>
      <c r="M142" s="302"/>
      <c r="N142" s="270"/>
      <c r="O142" s="302"/>
      <c r="P142" s="271"/>
    </row>
    <row r="143" spans="3:16" s="5" customFormat="1" ht="14.25">
      <c r="C143" s="416" t="s">
        <v>164</v>
      </c>
      <c r="D143" s="415" t="s">
        <v>0</v>
      </c>
      <c r="E143" s="37"/>
      <c r="F143" s="249"/>
      <c r="G143" s="249"/>
      <c r="H143" s="249"/>
      <c r="I143" s="249"/>
      <c r="J143" s="249"/>
      <c r="K143" s="249"/>
      <c r="L143" s="249"/>
      <c r="M143" s="250"/>
      <c r="N143" s="249"/>
      <c r="O143" s="250"/>
      <c r="P143" s="251"/>
    </row>
    <row r="144" spans="3:16" s="5" customFormat="1">
      <c r="C144" s="417" t="s">
        <v>222</v>
      </c>
      <c r="D144" s="418" t="s">
        <v>159</v>
      </c>
      <c r="E144" s="252"/>
      <c r="F144" s="252"/>
      <c r="G144" s="252"/>
      <c r="H144" s="252"/>
      <c r="I144" s="252"/>
      <c r="J144" s="252"/>
      <c r="K144" s="252"/>
      <c r="L144" s="252"/>
      <c r="M144" s="252"/>
      <c r="N144" s="252"/>
      <c r="O144" s="252"/>
      <c r="P144" s="253"/>
    </row>
    <row r="145" spans="3:16" s="5" customFormat="1">
      <c r="C145" s="416" t="s">
        <v>223</v>
      </c>
      <c r="D145" s="419" t="s">
        <v>159</v>
      </c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41"/>
    </row>
    <row r="146" spans="3:16" s="5" customFormat="1">
      <c r="C146" s="420" t="s">
        <v>224</v>
      </c>
      <c r="D146" s="421" t="s">
        <v>159</v>
      </c>
      <c r="E146" s="89"/>
      <c r="F146" s="89"/>
      <c r="G146" s="89"/>
      <c r="H146" s="89"/>
      <c r="I146" s="89"/>
      <c r="J146" s="89"/>
      <c r="K146" s="89"/>
      <c r="L146" s="37"/>
      <c r="M146" s="37"/>
      <c r="N146" s="37"/>
      <c r="O146" s="37"/>
      <c r="P146" s="41"/>
    </row>
    <row r="147" spans="3:16" s="5" customFormat="1">
      <c r="C147" s="417" t="s">
        <v>226</v>
      </c>
      <c r="D147" s="418" t="s">
        <v>37</v>
      </c>
      <c r="E147" s="254"/>
      <c r="F147" s="254"/>
      <c r="G147" s="254"/>
      <c r="H147" s="254"/>
      <c r="I147" s="254"/>
      <c r="J147" s="254"/>
      <c r="K147" s="254"/>
      <c r="L147" s="254"/>
      <c r="M147" s="255"/>
      <c r="N147" s="254"/>
      <c r="O147" s="255"/>
      <c r="P147" s="256"/>
    </row>
    <row r="148" spans="3:16" s="5" customFormat="1">
      <c r="C148" s="416" t="s">
        <v>227</v>
      </c>
      <c r="D148" s="415" t="s">
        <v>37</v>
      </c>
      <c r="E148" s="257"/>
      <c r="F148" s="257"/>
      <c r="G148" s="257"/>
      <c r="H148" s="257"/>
      <c r="I148" s="257"/>
      <c r="J148" s="257"/>
      <c r="K148" s="257"/>
      <c r="L148" s="257"/>
      <c r="M148" s="258"/>
      <c r="N148" s="257"/>
      <c r="O148" s="258"/>
      <c r="P148" s="259"/>
    </row>
    <row r="149" spans="3:16" s="5" customFormat="1">
      <c r="C149" s="420" t="s">
        <v>228</v>
      </c>
      <c r="D149" s="422" t="s">
        <v>37</v>
      </c>
      <c r="E149" s="260"/>
      <c r="F149" s="260"/>
      <c r="G149" s="260"/>
      <c r="H149" s="260"/>
      <c r="I149" s="260"/>
      <c r="J149" s="260"/>
      <c r="K149" s="260"/>
      <c r="L149" s="260"/>
      <c r="M149" s="261"/>
      <c r="N149" s="260"/>
      <c r="O149" s="261"/>
      <c r="P149" s="262"/>
    </row>
    <row r="150" spans="3:16" s="5" customFormat="1">
      <c r="C150" s="417" t="s">
        <v>200</v>
      </c>
      <c r="D150" s="423" t="s">
        <v>202</v>
      </c>
      <c r="E150" s="263"/>
      <c r="F150" s="263"/>
      <c r="G150" s="264"/>
      <c r="H150" s="264"/>
      <c r="I150" s="264"/>
      <c r="J150" s="264"/>
      <c r="K150" s="264"/>
      <c r="L150" s="264"/>
      <c r="M150" s="264"/>
      <c r="N150" s="264"/>
      <c r="O150" s="264"/>
      <c r="P150" s="52"/>
    </row>
    <row r="151" spans="3:16" s="5" customFormat="1">
      <c r="C151" s="416" t="s">
        <v>199</v>
      </c>
      <c r="D151" s="424" t="s">
        <v>202</v>
      </c>
      <c r="E151" s="249"/>
      <c r="F151" s="249"/>
      <c r="G151" s="51"/>
      <c r="H151" s="51"/>
      <c r="I151" s="51"/>
      <c r="J151" s="51"/>
      <c r="K151" s="51"/>
      <c r="L151" s="51"/>
      <c r="M151" s="51"/>
      <c r="N151" s="51"/>
      <c r="O151" s="51"/>
      <c r="P151" s="52"/>
    </row>
    <row r="152" spans="3:16" s="5" customFormat="1">
      <c r="C152" s="420" t="s">
        <v>201</v>
      </c>
      <c r="D152" s="425" t="s">
        <v>202</v>
      </c>
      <c r="E152" s="265"/>
      <c r="F152" s="265"/>
      <c r="G152" s="266"/>
      <c r="H152" s="266"/>
      <c r="I152" s="266"/>
      <c r="J152" s="266"/>
      <c r="K152" s="266"/>
      <c r="L152" s="266"/>
      <c r="M152" s="266"/>
      <c r="N152" s="266"/>
      <c r="O152" s="266"/>
      <c r="P152" s="267"/>
    </row>
    <row r="153" spans="3:16" s="5" customFormat="1">
      <c r="C153" s="416" t="s">
        <v>203</v>
      </c>
      <c r="D153" s="415" t="s">
        <v>37</v>
      </c>
      <c r="E153" s="257"/>
      <c r="F153" s="257"/>
      <c r="G153" s="257"/>
      <c r="H153" s="257"/>
      <c r="I153" s="257"/>
      <c r="J153" s="257"/>
      <c r="K153" s="257"/>
      <c r="L153" s="257"/>
      <c r="M153" s="258"/>
      <c r="N153" s="257"/>
      <c r="O153" s="258"/>
      <c r="P153" s="259"/>
    </row>
    <row r="154" spans="3:16" s="5" customFormat="1">
      <c r="C154" s="416" t="s">
        <v>204</v>
      </c>
      <c r="D154" s="415" t="s">
        <v>37</v>
      </c>
      <c r="E154" s="257"/>
      <c r="F154" s="257"/>
      <c r="G154" s="257"/>
      <c r="H154" s="257"/>
      <c r="I154" s="257"/>
      <c r="J154" s="257"/>
      <c r="K154" s="257"/>
      <c r="L154" s="257"/>
      <c r="M154" s="257"/>
      <c r="N154" s="257"/>
      <c r="O154" s="257"/>
      <c r="P154" s="259"/>
    </row>
    <row r="155" spans="3:16" s="5" customFormat="1">
      <c r="C155" s="420" t="s">
        <v>205</v>
      </c>
      <c r="D155" s="422" t="s">
        <v>37</v>
      </c>
      <c r="E155" s="260"/>
      <c r="F155" s="260"/>
      <c r="G155" s="260"/>
      <c r="H155" s="260"/>
      <c r="I155" s="260"/>
      <c r="J155" s="260"/>
      <c r="K155" s="260"/>
      <c r="L155" s="260"/>
      <c r="M155" s="260"/>
      <c r="N155" s="260"/>
      <c r="O155" s="260"/>
      <c r="P155" s="262"/>
    </row>
    <row r="156" spans="3:16" s="5" customFormat="1">
      <c r="C156" s="416" t="s">
        <v>206</v>
      </c>
      <c r="D156" s="415" t="s">
        <v>37</v>
      </c>
      <c r="E156" s="257"/>
      <c r="F156" s="257"/>
      <c r="G156" s="257"/>
      <c r="H156" s="257"/>
      <c r="I156" s="257"/>
      <c r="J156" s="257"/>
      <c r="K156" s="257"/>
      <c r="L156" s="257"/>
      <c r="M156" s="258"/>
      <c r="N156" s="257"/>
      <c r="O156" s="258"/>
      <c r="P156" s="259"/>
    </row>
    <row r="157" spans="3:16">
      <c r="C157" s="416" t="s">
        <v>207</v>
      </c>
      <c r="D157" s="415" t="s">
        <v>37</v>
      </c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9"/>
    </row>
    <row r="158" spans="3:16" ht="13.5" thickBot="1">
      <c r="C158" s="426" t="s">
        <v>208</v>
      </c>
      <c r="D158" s="427" t="s">
        <v>37</v>
      </c>
      <c r="E158" s="268"/>
      <c r="F158" s="268"/>
      <c r="G158" s="268"/>
      <c r="H158" s="268"/>
      <c r="I158" s="268"/>
      <c r="J158" s="268"/>
      <c r="K158" s="268"/>
      <c r="L158" s="268"/>
      <c r="M158" s="268"/>
      <c r="N158" s="268"/>
      <c r="O158" s="268"/>
      <c r="P158" s="269"/>
    </row>
    <row r="159" spans="3:16" ht="13.5" thickBot="1"/>
    <row r="160" spans="3:16">
      <c r="C160" s="407" t="s">
        <v>225</v>
      </c>
      <c r="D160" s="428"/>
      <c r="E160" s="468" t="s">
        <v>195</v>
      </c>
      <c r="F160" s="469"/>
      <c r="G160" s="469"/>
      <c r="H160" s="469"/>
      <c r="I160" s="469"/>
      <c r="J160" s="469"/>
      <c r="K160" s="469"/>
      <c r="L160" s="470"/>
      <c r="N160" s="5"/>
      <c r="O160" s="186"/>
      <c r="P160" s="5"/>
    </row>
    <row r="161" spans="3:17">
      <c r="C161" s="409" t="s">
        <v>111</v>
      </c>
      <c r="D161" s="410" t="s">
        <v>109</v>
      </c>
      <c r="E161" s="411">
        <v>13</v>
      </c>
      <c r="F161" s="411">
        <v>14</v>
      </c>
      <c r="G161" s="411">
        <v>16</v>
      </c>
      <c r="H161" s="411">
        <v>16</v>
      </c>
      <c r="I161" s="411">
        <v>17</v>
      </c>
      <c r="J161" s="431">
        <v>18</v>
      </c>
      <c r="K161" s="411">
        <v>19</v>
      </c>
      <c r="L161" s="412">
        <v>20</v>
      </c>
      <c r="N161" s="5"/>
      <c r="O161" s="186"/>
      <c r="P161" s="5"/>
      <c r="Q161" s="10"/>
    </row>
    <row r="162" spans="3:17">
      <c r="C162" s="429" t="s">
        <v>185</v>
      </c>
      <c r="D162" s="414" t="s">
        <v>202</v>
      </c>
      <c r="E162" s="270"/>
      <c r="F162" s="270"/>
      <c r="G162" s="270"/>
      <c r="H162" s="270"/>
      <c r="I162" s="270"/>
      <c r="J162" s="270"/>
      <c r="K162" s="270"/>
      <c r="L162" s="271"/>
      <c r="N162" s="5"/>
      <c r="O162" s="186"/>
      <c r="P162" s="5"/>
      <c r="Q162" s="10"/>
    </row>
    <row r="163" spans="3:17">
      <c r="C163" s="413" t="s">
        <v>167</v>
      </c>
      <c r="D163" s="415" t="s">
        <v>36</v>
      </c>
      <c r="E163" s="270"/>
      <c r="F163" s="270"/>
      <c r="G163" s="270"/>
      <c r="H163" s="270"/>
      <c r="I163" s="270"/>
      <c r="J163" s="270"/>
      <c r="K163" s="270"/>
      <c r="L163" s="271"/>
      <c r="M163" s="175"/>
      <c r="N163" s="175"/>
      <c r="O163" s="187"/>
      <c r="P163" s="5"/>
      <c r="Q163" s="10"/>
    </row>
    <row r="164" spans="3:17">
      <c r="C164" s="416" t="s">
        <v>72</v>
      </c>
      <c r="D164" s="430" t="s">
        <v>202</v>
      </c>
      <c r="E164" s="270"/>
      <c r="F164" s="270"/>
      <c r="G164" s="270"/>
      <c r="H164" s="270"/>
      <c r="I164" s="270"/>
      <c r="J164" s="270"/>
      <c r="K164" s="270"/>
      <c r="L164" s="271"/>
      <c r="M164" s="175"/>
      <c r="N164" s="175"/>
      <c r="O164" s="187"/>
      <c r="P164" s="5"/>
      <c r="Q164" s="10"/>
    </row>
    <row r="165" spans="3:17" ht="14.25">
      <c r="C165" s="416" t="s">
        <v>164</v>
      </c>
      <c r="D165" s="415" t="s">
        <v>0</v>
      </c>
      <c r="E165" s="249"/>
      <c r="F165" s="249"/>
      <c r="G165" s="249"/>
      <c r="H165" s="249"/>
      <c r="I165" s="249"/>
      <c r="J165" s="249"/>
      <c r="K165" s="249"/>
      <c r="L165" s="251"/>
      <c r="M165" s="176"/>
      <c r="N165" s="176"/>
      <c r="O165" s="188"/>
      <c r="P165" s="5"/>
      <c r="Q165" s="10"/>
    </row>
    <row r="166" spans="3:17">
      <c r="C166" s="417" t="s">
        <v>222</v>
      </c>
      <c r="D166" s="418" t="s">
        <v>159</v>
      </c>
      <c r="E166" s="252"/>
      <c r="F166" s="252"/>
      <c r="G166" s="252"/>
      <c r="H166" s="252"/>
      <c r="I166" s="252"/>
      <c r="J166" s="252"/>
      <c r="K166" s="252"/>
      <c r="L166" s="253"/>
      <c r="M166" s="20"/>
      <c r="N166" s="20"/>
      <c r="O166" s="188"/>
      <c r="P166" s="5"/>
      <c r="Q166" s="10"/>
    </row>
    <row r="167" spans="3:17">
      <c r="C167" s="416" t="s">
        <v>223</v>
      </c>
      <c r="D167" s="419" t="s">
        <v>159</v>
      </c>
      <c r="E167" s="37"/>
      <c r="F167" s="37"/>
      <c r="G167" s="37"/>
      <c r="H167" s="37"/>
      <c r="I167" s="37"/>
      <c r="J167" s="37"/>
      <c r="K167" s="37"/>
      <c r="L167" s="41"/>
      <c r="M167" s="20"/>
      <c r="N167" s="20"/>
      <c r="O167" s="188"/>
      <c r="P167" s="5"/>
      <c r="Q167" s="10"/>
    </row>
    <row r="168" spans="3:17">
      <c r="C168" s="420" t="s">
        <v>224</v>
      </c>
      <c r="D168" s="421" t="s">
        <v>159</v>
      </c>
      <c r="E168" s="89"/>
      <c r="F168" s="89"/>
      <c r="G168" s="89"/>
      <c r="H168" s="89"/>
      <c r="I168" s="89"/>
      <c r="J168" s="89"/>
      <c r="K168" s="89"/>
      <c r="L168" s="272"/>
      <c r="M168" s="20"/>
      <c r="N168" s="20"/>
      <c r="O168" s="188"/>
      <c r="P168" s="5"/>
      <c r="Q168" s="10"/>
    </row>
    <row r="169" spans="3:17">
      <c r="C169" s="417" t="s">
        <v>226</v>
      </c>
      <c r="D169" s="418" t="s">
        <v>37</v>
      </c>
      <c r="E169" s="254"/>
      <c r="F169" s="254"/>
      <c r="G169" s="254"/>
      <c r="H169" s="254"/>
      <c r="I169" s="254"/>
      <c r="J169" s="254"/>
      <c r="K169" s="254"/>
      <c r="L169" s="256"/>
      <c r="M169" s="166"/>
      <c r="N169" s="166"/>
      <c r="O169" s="166"/>
      <c r="P169" s="5"/>
      <c r="Q169" s="10"/>
    </row>
    <row r="170" spans="3:17">
      <c r="C170" s="416" t="s">
        <v>227</v>
      </c>
      <c r="D170" s="415" t="s">
        <v>37</v>
      </c>
      <c r="E170" s="257"/>
      <c r="F170" s="257"/>
      <c r="G170" s="257"/>
      <c r="H170" s="257"/>
      <c r="I170" s="257"/>
      <c r="J170" s="257"/>
      <c r="K170" s="257"/>
      <c r="L170" s="259"/>
      <c r="M170" s="166"/>
      <c r="N170" s="166"/>
      <c r="O170" s="166"/>
      <c r="Q170" s="10"/>
    </row>
    <row r="171" spans="3:17">
      <c r="C171" s="420" t="s">
        <v>228</v>
      </c>
      <c r="D171" s="422" t="s">
        <v>37</v>
      </c>
      <c r="E171" s="260"/>
      <c r="F171" s="260"/>
      <c r="G171" s="260"/>
      <c r="H171" s="260"/>
      <c r="I171" s="260"/>
      <c r="J171" s="260"/>
      <c r="K171" s="260"/>
      <c r="L171" s="262"/>
      <c r="M171" s="166"/>
      <c r="N171" s="166"/>
      <c r="O171" s="166"/>
      <c r="Q171" s="10"/>
    </row>
    <row r="172" spans="3:17">
      <c r="C172" s="417" t="s">
        <v>192</v>
      </c>
      <c r="D172" s="423" t="s">
        <v>202</v>
      </c>
      <c r="E172" s="264"/>
      <c r="F172" s="264"/>
      <c r="G172" s="264"/>
      <c r="H172" s="264"/>
      <c r="I172" s="264"/>
      <c r="J172" s="264"/>
      <c r="K172" s="264"/>
      <c r="L172" s="273"/>
      <c r="M172" s="177"/>
      <c r="N172" s="177"/>
      <c r="O172" s="177"/>
      <c r="Q172" s="10"/>
    </row>
    <row r="173" spans="3:17">
      <c r="C173" s="416" t="s">
        <v>193</v>
      </c>
      <c r="D173" s="424" t="s">
        <v>202</v>
      </c>
      <c r="E173" s="51"/>
      <c r="F173" s="51"/>
      <c r="G173" s="51"/>
      <c r="H173" s="51"/>
      <c r="I173" s="51"/>
      <c r="J173" s="51"/>
      <c r="K173" s="51"/>
      <c r="L173" s="52"/>
      <c r="M173" s="177"/>
      <c r="N173" s="177"/>
      <c r="O173" s="177"/>
      <c r="Q173" s="10"/>
    </row>
    <row r="174" spans="3:17">
      <c r="C174" s="420" t="s">
        <v>194</v>
      </c>
      <c r="D174" s="425" t="s">
        <v>202</v>
      </c>
      <c r="E174" s="266"/>
      <c r="F174" s="266"/>
      <c r="G174" s="266"/>
      <c r="H174" s="266"/>
      <c r="I174" s="266"/>
      <c r="J174" s="266"/>
      <c r="K174" s="266"/>
      <c r="L174" s="267"/>
      <c r="M174" s="177"/>
      <c r="N174" s="177"/>
      <c r="O174" s="177"/>
      <c r="Q174" s="10"/>
    </row>
    <row r="175" spans="3:17">
      <c r="C175" s="416" t="s">
        <v>203</v>
      </c>
      <c r="D175" s="415" t="s">
        <v>37</v>
      </c>
      <c r="E175" s="257"/>
      <c r="F175" s="257"/>
      <c r="G175" s="257"/>
      <c r="H175" s="257"/>
      <c r="I175" s="257"/>
      <c r="J175" s="257"/>
      <c r="K175" s="257"/>
      <c r="L175" s="259"/>
      <c r="M175" s="166"/>
      <c r="N175" s="166"/>
      <c r="O175" s="166"/>
      <c r="Q175" s="10"/>
    </row>
    <row r="176" spans="3:17">
      <c r="C176" s="416" t="s">
        <v>204</v>
      </c>
      <c r="D176" s="415" t="s">
        <v>37</v>
      </c>
      <c r="E176" s="257"/>
      <c r="F176" s="257"/>
      <c r="G176" s="257"/>
      <c r="H176" s="257"/>
      <c r="I176" s="257"/>
      <c r="J176" s="257"/>
      <c r="K176" s="257"/>
      <c r="L176" s="259"/>
      <c r="M176" s="166"/>
      <c r="N176" s="166"/>
      <c r="O176" s="166"/>
      <c r="Q176" s="10"/>
    </row>
    <row r="177" spans="3:17">
      <c r="C177" s="420" t="s">
        <v>205</v>
      </c>
      <c r="D177" s="422" t="s">
        <v>37</v>
      </c>
      <c r="E177" s="260"/>
      <c r="F177" s="260"/>
      <c r="G177" s="260"/>
      <c r="H177" s="260"/>
      <c r="I177" s="260"/>
      <c r="J177" s="260"/>
      <c r="K177" s="260"/>
      <c r="L177" s="262"/>
      <c r="M177" s="166"/>
      <c r="N177" s="166"/>
      <c r="O177" s="166"/>
      <c r="Q177" s="10"/>
    </row>
    <row r="178" spans="3:17">
      <c r="C178" s="416" t="s">
        <v>206</v>
      </c>
      <c r="D178" s="415" t="s">
        <v>37</v>
      </c>
      <c r="E178" s="257"/>
      <c r="F178" s="257"/>
      <c r="G178" s="257"/>
      <c r="H178" s="257"/>
      <c r="I178" s="257"/>
      <c r="J178" s="257"/>
      <c r="K178" s="257"/>
      <c r="L178" s="259"/>
      <c r="M178" s="166"/>
      <c r="N178" s="166"/>
      <c r="O178" s="166"/>
      <c r="Q178" s="10"/>
    </row>
    <row r="179" spans="3:17">
      <c r="C179" s="416" t="s">
        <v>207</v>
      </c>
      <c r="D179" s="415" t="s">
        <v>37</v>
      </c>
      <c r="E179" s="257"/>
      <c r="F179" s="257"/>
      <c r="G179" s="257"/>
      <c r="H179" s="257"/>
      <c r="I179" s="257"/>
      <c r="J179" s="257"/>
      <c r="K179" s="257"/>
      <c r="L179" s="259"/>
      <c r="M179" s="166"/>
      <c r="N179" s="166"/>
      <c r="O179" s="166"/>
      <c r="Q179" s="10"/>
    </row>
    <row r="180" spans="3:17" ht="13.5" thickBot="1">
      <c r="C180" s="426" t="s">
        <v>208</v>
      </c>
      <c r="D180" s="427" t="s">
        <v>37</v>
      </c>
      <c r="E180" s="268"/>
      <c r="F180" s="268"/>
      <c r="G180" s="268"/>
      <c r="H180" s="268"/>
      <c r="I180" s="268"/>
      <c r="J180" s="268"/>
      <c r="K180" s="268"/>
      <c r="L180" s="269"/>
      <c r="M180" s="166"/>
      <c r="N180" s="166"/>
      <c r="O180" s="166"/>
      <c r="Q180" s="10"/>
    </row>
    <row r="181" spans="3:17">
      <c r="Q181" s="10"/>
    </row>
  </sheetData>
  <mergeCells count="6">
    <mergeCell ref="E139:P139"/>
    <mergeCell ref="E160:L160"/>
    <mergeCell ref="H6:S6"/>
    <mergeCell ref="H27:O27"/>
    <mergeCell ref="E116:L116"/>
    <mergeCell ref="E95:P95"/>
  </mergeCells>
  <phoneticPr fontId="8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36" r:id="rId4" name="Check Box 24">
              <controlPr defaultSize="0" autoFill="0" autoLine="0" autoPict="0">
                <anchor moveWithCells="1">
                  <from>
                    <xdr:col>4</xdr:col>
                    <xdr:colOff>219075</xdr:colOff>
                    <xdr:row>80</xdr:row>
                    <xdr:rowOff>0</xdr:rowOff>
                  </from>
                  <to>
                    <xdr:col>4</xdr:col>
                    <xdr:colOff>600075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5" name="Check Box 25">
              <controlPr defaultSize="0" autoFill="0" autoLine="0" autoPict="0">
                <anchor moveWithCells="1">
                  <from>
                    <xdr:col>5</xdr:col>
                    <xdr:colOff>238125</xdr:colOff>
                    <xdr:row>80</xdr:row>
                    <xdr:rowOff>0</xdr:rowOff>
                  </from>
                  <to>
                    <xdr:col>5</xdr:col>
                    <xdr:colOff>600075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6" name="Check Box 26">
              <controlPr defaultSize="0" autoFill="0" autoLine="0" autoPict="0">
                <anchor moveWithCells="1">
                  <from>
                    <xdr:col>6</xdr:col>
                    <xdr:colOff>276225</xdr:colOff>
                    <xdr:row>80</xdr:row>
                    <xdr:rowOff>0</xdr:rowOff>
                  </from>
                  <to>
                    <xdr:col>6</xdr:col>
                    <xdr:colOff>600075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7" name="Check Box 27">
              <controlPr defaultSize="0" autoFill="0" autoLine="0" autoPict="0">
                <anchor moveWithCells="1">
                  <from>
                    <xdr:col>7</xdr:col>
                    <xdr:colOff>257175</xdr:colOff>
                    <xdr:row>80</xdr:row>
                    <xdr:rowOff>0</xdr:rowOff>
                  </from>
                  <to>
                    <xdr:col>7</xdr:col>
                    <xdr:colOff>600075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8" name="Check Box 28">
              <controlPr defaultSize="0" autoFill="0" autoLine="0" autoPict="0">
                <anchor moveWithCells="1">
                  <from>
                    <xdr:col>8</xdr:col>
                    <xdr:colOff>200025</xdr:colOff>
                    <xdr:row>80</xdr:row>
                    <xdr:rowOff>0</xdr:rowOff>
                  </from>
                  <to>
                    <xdr:col>8</xdr:col>
                    <xdr:colOff>600075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9" name="Check Box 29">
              <controlPr defaultSize="0" autoFill="0" autoLine="0" autoPict="0">
                <anchor moveWithCells="1">
                  <from>
                    <xdr:col>9</xdr:col>
                    <xdr:colOff>257175</xdr:colOff>
                    <xdr:row>80</xdr:row>
                    <xdr:rowOff>0</xdr:rowOff>
                  </from>
                  <to>
                    <xdr:col>9</xdr:col>
                    <xdr:colOff>600075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10" name="Check Box 30">
              <controlPr defaultSize="0" autoFill="0" autoLine="0" autoPict="0">
                <anchor moveWithCells="1">
                  <from>
                    <xdr:col>10</xdr:col>
                    <xdr:colOff>238125</xdr:colOff>
                    <xdr:row>80</xdr:row>
                    <xdr:rowOff>0</xdr:rowOff>
                  </from>
                  <to>
                    <xdr:col>10</xdr:col>
                    <xdr:colOff>600075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11" name="Check Box 31">
              <controlPr defaultSize="0" autoFill="0" autoLine="0" autoPict="0">
                <anchor moveWithCells="1">
                  <from>
                    <xdr:col>11</xdr:col>
                    <xdr:colOff>238125</xdr:colOff>
                    <xdr:row>80</xdr:row>
                    <xdr:rowOff>0</xdr:rowOff>
                  </from>
                  <to>
                    <xdr:col>11</xdr:col>
                    <xdr:colOff>600075</xdr:colOff>
                    <xdr:row>81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12" name="Button 68">
              <controlPr defaultSize="0" print="0" autoFill="0" autoPict="0" macro="[0]!Show_IO_Config">
                <anchor moveWithCells="1" sizeWithCells="1">
                  <from>
                    <xdr:col>4</xdr:col>
                    <xdr:colOff>600075</xdr:colOff>
                    <xdr:row>59</xdr:row>
                    <xdr:rowOff>76200</xdr:rowOff>
                  </from>
                  <to>
                    <xdr:col>5</xdr:col>
                    <xdr:colOff>600075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13" name="Button 69">
              <controlPr defaultSize="0" print="0" autoFill="0" autoPict="0" macro="[0]!Hide_IO_Config">
                <anchor moveWithCells="1" sizeWithCells="1">
                  <from>
                    <xdr:col>6</xdr:col>
                    <xdr:colOff>28575</xdr:colOff>
                    <xdr:row>59</xdr:row>
                    <xdr:rowOff>76200</xdr:rowOff>
                  </from>
                  <to>
                    <xdr:col>8</xdr:col>
                    <xdr:colOff>504825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6" r:id="rId14" name="Drop Down 954">
              <controlPr defaultSize="0" autoLine="0" autoPict="0">
                <anchor moveWithCells="1">
                  <from>
                    <xdr:col>4</xdr:col>
                    <xdr:colOff>0</xdr:colOff>
                    <xdr:row>81</xdr:row>
                    <xdr:rowOff>28575</xdr:rowOff>
                  </from>
                  <to>
                    <xdr:col>5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7" r:id="rId15" name="Drop Down 955">
              <controlPr defaultSize="0" autoLine="0" autoPict="0">
                <anchor moveWithCells="1">
                  <from>
                    <xdr:col>5</xdr:col>
                    <xdr:colOff>0</xdr:colOff>
                    <xdr:row>81</xdr:row>
                    <xdr:rowOff>28575</xdr:rowOff>
                  </from>
                  <to>
                    <xdr:col>6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8" r:id="rId16" name="Drop Down 956">
              <controlPr defaultSize="0" autoLine="0" autoPict="0">
                <anchor moveWithCells="1">
                  <from>
                    <xdr:col>6</xdr:col>
                    <xdr:colOff>0</xdr:colOff>
                    <xdr:row>81</xdr:row>
                    <xdr:rowOff>28575</xdr:rowOff>
                  </from>
                  <to>
                    <xdr:col>7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0" r:id="rId17" name="Drop Down 958">
              <controlPr defaultSize="0" autoLine="0" autoPict="0">
                <anchor moveWithCells="1">
                  <from>
                    <xdr:col>7</xdr:col>
                    <xdr:colOff>0</xdr:colOff>
                    <xdr:row>81</xdr:row>
                    <xdr:rowOff>28575</xdr:rowOff>
                  </from>
                  <to>
                    <xdr:col>8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1" r:id="rId18" name="Drop Down 959">
              <controlPr defaultSize="0" autoLine="0" autoPict="0">
                <anchor moveWithCells="1">
                  <from>
                    <xdr:col>8</xdr:col>
                    <xdr:colOff>0</xdr:colOff>
                    <xdr:row>81</xdr:row>
                    <xdr:rowOff>28575</xdr:rowOff>
                  </from>
                  <to>
                    <xdr:col>9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3" r:id="rId19" name="Drop Down 961">
              <controlPr defaultSize="0" autoLine="0" autoPict="0">
                <anchor moveWithCells="1">
                  <from>
                    <xdr:col>9</xdr:col>
                    <xdr:colOff>0</xdr:colOff>
                    <xdr:row>81</xdr:row>
                    <xdr:rowOff>28575</xdr:rowOff>
                  </from>
                  <to>
                    <xdr:col>10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4" r:id="rId20" name="Drop Down 962">
              <controlPr defaultSize="0" autoLine="0" autoPict="0">
                <anchor moveWithCells="1">
                  <from>
                    <xdr:col>10</xdr:col>
                    <xdr:colOff>0</xdr:colOff>
                    <xdr:row>81</xdr:row>
                    <xdr:rowOff>28575</xdr:rowOff>
                  </from>
                  <to>
                    <xdr:col>11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6" r:id="rId21" name="Drop Down 964">
              <controlPr defaultSize="0" autoLine="0" autoPict="0">
                <anchor moveWithCells="1">
                  <from>
                    <xdr:col>11</xdr:col>
                    <xdr:colOff>0</xdr:colOff>
                    <xdr:row>81</xdr:row>
                    <xdr:rowOff>28575</xdr:rowOff>
                  </from>
                  <to>
                    <xdr:col>12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0" r:id="rId22" name="Drop Down 968">
              <controlPr defaultSize="0" autoLine="0" autoPict="0">
                <anchor moveWithCells="1">
                  <from>
                    <xdr:col>9</xdr:col>
                    <xdr:colOff>0</xdr:colOff>
                    <xdr:row>81</xdr:row>
                    <xdr:rowOff>28575</xdr:rowOff>
                  </from>
                  <to>
                    <xdr:col>10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1" r:id="rId23" name="Drop Down 969">
              <controlPr defaultSize="0" autoLine="0" autoPict="0">
                <anchor moveWithCells="1">
                  <from>
                    <xdr:col>10</xdr:col>
                    <xdr:colOff>0</xdr:colOff>
                    <xdr:row>81</xdr:row>
                    <xdr:rowOff>28575</xdr:rowOff>
                  </from>
                  <to>
                    <xdr:col>11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2" r:id="rId24" name="Drop Down 970">
              <controlPr defaultSize="0" autoLine="0" autoPict="0">
                <anchor moveWithCells="1">
                  <from>
                    <xdr:col>11</xdr:col>
                    <xdr:colOff>0</xdr:colOff>
                    <xdr:row>81</xdr:row>
                    <xdr:rowOff>28575</xdr:rowOff>
                  </from>
                  <to>
                    <xdr:col>12</xdr:col>
                    <xdr:colOff>0</xdr:colOff>
                    <xdr:row>82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T293"/>
  <sheetViews>
    <sheetView tabSelected="1" topLeftCell="A85" zoomScale="106" zoomScaleNormal="106" workbookViewId="0">
      <selection activeCell="AO147" sqref="AO147:AT218"/>
    </sheetView>
  </sheetViews>
  <sheetFormatPr defaultColWidth="8.85546875" defaultRowHeight="12.75"/>
  <cols>
    <col min="1" max="1" width="3.5703125" style="344" customWidth="1"/>
    <col min="2" max="2" width="27.42578125" customWidth="1"/>
    <col min="3" max="3" width="10.85546875" style="344" customWidth="1"/>
    <col min="4" max="4" width="9.42578125" style="344" customWidth="1"/>
    <col min="5" max="6" width="8.5703125" customWidth="1"/>
    <col min="7" max="16" width="7.5703125" customWidth="1"/>
    <col min="17" max="17" width="33.5703125" customWidth="1"/>
    <col min="18" max="18" width="7.42578125" customWidth="1"/>
    <col min="19" max="19" width="11.28515625" customWidth="1"/>
    <col min="20" max="27" width="6.85546875" customWidth="1"/>
    <col min="28" max="29" width="6.5703125" customWidth="1"/>
    <col min="30" max="30" width="6.42578125" customWidth="1"/>
    <col min="31" max="31" width="7.42578125" customWidth="1"/>
    <col min="32" max="32" width="7.42578125" style="344" customWidth="1"/>
    <col min="33" max="35" width="6.5703125" customWidth="1"/>
  </cols>
  <sheetData>
    <row r="1" spans="2:26" hidden="1">
      <c r="B1" s="87" t="s">
        <v>209</v>
      </c>
      <c r="C1" s="87"/>
      <c r="D1" s="87"/>
      <c r="E1" s="87"/>
      <c r="F1" s="100" t="s">
        <v>75</v>
      </c>
      <c r="G1" s="100" t="s">
        <v>76</v>
      </c>
      <c r="H1" s="136" t="s">
        <v>209</v>
      </c>
      <c r="I1" s="97"/>
      <c r="J1" s="97" t="s">
        <v>75</v>
      </c>
      <c r="K1" s="97" t="s">
        <v>76</v>
      </c>
      <c r="L1" s="55"/>
      <c r="M1" s="98" t="s">
        <v>74</v>
      </c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2:26" hidden="1">
      <c r="B2" s="54"/>
      <c r="C2" s="54"/>
      <c r="D2" s="54"/>
      <c r="E2" s="54"/>
      <c r="F2" s="60"/>
      <c r="G2" s="54"/>
      <c r="H2" s="133"/>
      <c r="I2" s="57"/>
      <c r="J2" s="57"/>
      <c r="K2" s="57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</row>
    <row r="3" spans="2:26" ht="13.5" hidden="1" thickBot="1">
      <c r="B3" s="54"/>
      <c r="C3" s="54"/>
      <c r="D3" s="54"/>
      <c r="E3" s="54"/>
      <c r="F3" s="60"/>
      <c r="G3" s="54"/>
      <c r="H3" s="133"/>
      <c r="I3" s="57"/>
      <c r="J3" s="57"/>
      <c r="K3" s="57"/>
      <c r="L3" s="55"/>
      <c r="M3" s="325" t="s">
        <v>136</v>
      </c>
      <c r="N3" s="88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</row>
    <row r="4" spans="2:26" hidden="1">
      <c r="B4" s="54"/>
      <c r="C4" s="54"/>
      <c r="D4" s="54"/>
      <c r="E4" s="54"/>
      <c r="F4" s="60"/>
      <c r="G4" s="54"/>
      <c r="H4" s="133"/>
      <c r="I4" s="57"/>
      <c r="J4" s="57"/>
      <c r="K4" s="57"/>
      <c r="L4" s="69"/>
      <c r="M4" s="311" t="s">
        <v>111</v>
      </c>
      <c r="N4" s="170" t="s">
        <v>109</v>
      </c>
      <c r="O4" s="192">
        <v>1</v>
      </c>
      <c r="P4" s="192">
        <v>2</v>
      </c>
      <c r="Q4" s="192">
        <v>3</v>
      </c>
      <c r="R4" s="192">
        <v>4</v>
      </c>
      <c r="S4" s="192">
        <v>5</v>
      </c>
      <c r="T4" s="192">
        <v>6</v>
      </c>
      <c r="U4" s="192">
        <v>7</v>
      </c>
      <c r="V4" s="192">
        <v>8</v>
      </c>
      <c r="W4" s="192">
        <v>9</v>
      </c>
      <c r="X4" s="192">
        <v>10</v>
      </c>
      <c r="Y4" s="192">
        <v>11</v>
      </c>
      <c r="Z4" s="193">
        <v>12</v>
      </c>
    </row>
    <row r="5" spans="2:26" hidden="1">
      <c r="B5" s="54"/>
      <c r="C5" s="54"/>
      <c r="D5" s="54"/>
      <c r="E5" s="54"/>
      <c r="F5" s="60"/>
      <c r="G5" s="54"/>
      <c r="H5" s="133"/>
      <c r="I5" s="57"/>
      <c r="J5" s="57"/>
      <c r="K5" s="57"/>
      <c r="L5" s="69"/>
      <c r="M5" s="306" t="s">
        <v>185</v>
      </c>
      <c r="N5" s="206" t="s">
        <v>202</v>
      </c>
      <c r="O5" s="281" t="str">
        <f>ModelState!E82</f>
        <v>Nadir</v>
      </c>
      <c r="P5" s="281" t="str">
        <f>ModelState!F82</f>
        <v>Away</v>
      </c>
      <c r="Q5" s="281" t="str">
        <f>ModelState!G82</f>
        <v>Ram</v>
      </c>
      <c r="R5" s="281" t="str">
        <f>ModelState!H82</f>
        <v>Left</v>
      </c>
      <c r="S5" s="281" t="str">
        <f>ModelState!I82</f>
        <v>Tail</v>
      </c>
      <c r="T5" s="281" t="str">
        <f>ModelState!J82</f>
        <v>Right</v>
      </c>
      <c r="U5" s="281" t="str">
        <f>ModelState!K82</f>
        <v>Side 5</v>
      </c>
      <c r="V5" s="281" t="str">
        <f>ModelState!L82</f>
        <v>Side 6</v>
      </c>
      <c r="W5" s="313" t="str">
        <f>ModelState!M82</f>
        <v>Side 7</v>
      </c>
      <c r="X5" s="281" t="str">
        <f>ModelState!N82</f>
        <v>Side 8</v>
      </c>
      <c r="Y5" s="313" t="str">
        <f>ModelState!O82</f>
        <v>Side 9</v>
      </c>
      <c r="Z5" s="282" t="str">
        <f>ModelState!P82</f>
        <v>Side 10</v>
      </c>
    </row>
    <row r="6" spans="2:26" hidden="1">
      <c r="B6" s="54"/>
      <c r="C6" s="54"/>
      <c r="D6" s="54"/>
      <c r="E6" s="54"/>
      <c r="F6" s="60"/>
      <c r="G6" s="54"/>
      <c r="H6" s="133"/>
      <c r="I6" s="57"/>
      <c r="J6" s="57"/>
      <c r="K6" s="57"/>
      <c r="L6" s="69"/>
      <c r="M6" s="305" t="s">
        <v>167</v>
      </c>
      <c r="N6" s="56" t="s">
        <v>36</v>
      </c>
      <c r="O6" s="125" t="b">
        <f>ModelState!E83</f>
        <v>1</v>
      </c>
      <c r="P6" s="125" t="b">
        <f>ModelState!F83</f>
        <v>1</v>
      </c>
      <c r="Q6" s="125" t="b">
        <f>ModelState!G83</f>
        <v>1</v>
      </c>
      <c r="R6" s="125" t="b">
        <f>ModelState!H83</f>
        <v>1</v>
      </c>
      <c r="S6" s="125" t="b">
        <f>ModelState!I83</f>
        <v>1</v>
      </c>
      <c r="T6" s="125" t="b">
        <f>ModelState!J83</f>
        <v>1</v>
      </c>
      <c r="U6" s="125" t="b">
        <f>ModelState!K83</f>
        <v>0</v>
      </c>
      <c r="V6" s="125" t="b">
        <f>ModelState!L83</f>
        <v>0</v>
      </c>
      <c r="W6" s="130" t="b">
        <f>ModelState!M83</f>
        <v>0</v>
      </c>
      <c r="X6" s="125" t="b">
        <f>ModelState!N83</f>
        <v>0</v>
      </c>
      <c r="Y6" s="130" t="b">
        <f>ModelState!O83</f>
        <v>0</v>
      </c>
      <c r="Z6" s="126" t="b">
        <f>ModelState!P83</f>
        <v>0</v>
      </c>
    </row>
    <row r="7" spans="2:26" ht="15" hidden="1" thickBot="1">
      <c r="B7" s="54"/>
      <c r="C7" s="54"/>
      <c r="D7" s="54"/>
      <c r="E7" s="54"/>
      <c r="F7" s="60"/>
      <c r="G7" s="54"/>
      <c r="H7" s="133"/>
      <c r="I7" s="57"/>
      <c r="J7" s="57"/>
      <c r="K7" s="57"/>
      <c r="L7" s="69"/>
      <c r="M7" s="315" t="s">
        <v>41</v>
      </c>
      <c r="N7" s="316" t="s">
        <v>0</v>
      </c>
      <c r="O7" s="317">
        <f>ModelState!E108</f>
        <v>100</v>
      </c>
      <c r="P7" s="318">
        <f>ModelState!F108</f>
        <v>100</v>
      </c>
      <c r="Q7" s="318">
        <f>ModelState!G108</f>
        <v>100</v>
      </c>
      <c r="R7" s="318">
        <f>ModelState!H108</f>
        <v>100</v>
      </c>
      <c r="S7" s="318">
        <f>ModelState!I108</f>
        <v>100</v>
      </c>
      <c r="T7" s="318">
        <f>ModelState!J108</f>
        <v>100</v>
      </c>
      <c r="U7" s="318" t="str">
        <f>ModelState!K108</f>
        <v/>
      </c>
      <c r="V7" s="318" t="str">
        <f>ModelState!L108</f>
        <v/>
      </c>
      <c r="W7" s="319" t="str">
        <f>ModelState!M108</f>
        <v/>
      </c>
      <c r="X7" s="318" t="str">
        <f>ModelState!N108</f>
        <v/>
      </c>
      <c r="Y7" s="319" t="str">
        <f>ModelState!O108</f>
        <v/>
      </c>
      <c r="Z7" s="320" t="str">
        <f>ModelState!P108</f>
        <v/>
      </c>
    </row>
    <row r="8" spans="2:26" hidden="1">
      <c r="B8" s="54"/>
      <c r="C8" s="54"/>
      <c r="D8" s="54"/>
      <c r="E8" s="54"/>
      <c r="F8" s="60"/>
      <c r="G8" s="54"/>
      <c r="H8" s="133"/>
      <c r="I8" s="57"/>
      <c r="J8" s="57"/>
      <c r="K8" s="57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</row>
    <row r="9" spans="2:26" ht="13.5" hidden="1" thickBot="1">
      <c r="B9" s="57"/>
      <c r="C9" s="57"/>
      <c r="D9" s="57"/>
      <c r="E9" s="54"/>
      <c r="F9" s="60"/>
      <c r="G9" s="54"/>
      <c r="H9" s="133"/>
      <c r="I9" s="57"/>
      <c r="J9" s="57"/>
      <c r="K9" s="57"/>
      <c r="L9" s="55"/>
      <c r="M9" s="326" t="s">
        <v>137</v>
      </c>
      <c r="N9" s="324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</row>
    <row r="10" spans="2:26" hidden="1">
      <c r="B10" s="57"/>
      <c r="C10" s="57"/>
      <c r="D10" s="57"/>
      <c r="E10" s="54"/>
      <c r="F10" s="60"/>
      <c r="G10" s="54"/>
      <c r="H10" s="133"/>
      <c r="I10" s="57"/>
      <c r="J10" s="57"/>
      <c r="K10" s="57"/>
      <c r="L10" s="55"/>
      <c r="M10" s="311" t="s">
        <v>111</v>
      </c>
      <c r="N10" s="170"/>
      <c r="O10" s="192">
        <v>1</v>
      </c>
      <c r="P10" s="192">
        <v>2</v>
      </c>
      <c r="Q10" s="192">
        <v>3</v>
      </c>
      <c r="R10" s="192">
        <v>4</v>
      </c>
      <c r="S10" s="192">
        <v>5</v>
      </c>
      <c r="T10" s="192">
        <v>6</v>
      </c>
      <c r="U10" s="192">
        <v>7</v>
      </c>
      <c r="V10" s="193">
        <v>8</v>
      </c>
      <c r="W10" s="55"/>
      <c r="X10" s="55"/>
      <c r="Y10" s="55"/>
      <c r="Z10" s="55"/>
    </row>
    <row r="11" spans="2:26" hidden="1">
      <c r="B11" s="57"/>
      <c r="C11" s="57"/>
      <c r="D11" s="57"/>
      <c r="E11" s="54"/>
      <c r="F11" s="60"/>
      <c r="G11" s="54"/>
      <c r="H11" s="133"/>
      <c r="I11" s="57"/>
      <c r="J11" s="57"/>
      <c r="K11" s="57"/>
      <c r="L11" s="55"/>
      <c r="M11" s="306" t="s">
        <v>185</v>
      </c>
      <c r="N11" s="72" t="s">
        <v>202</v>
      </c>
      <c r="O11" s="125" t="str">
        <f>ModelState!E125</f>
        <v>Wing 1</v>
      </c>
      <c r="P11" s="125" t="str">
        <f>ModelState!F125</f>
        <v>Wing 2</v>
      </c>
      <c r="Q11" s="125" t="str">
        <f>ModelState!G125</f>
        <v>Left Tail</v>
      </c>
      <c r="R11" s="125" t="str">
        <f>ModelState!H125</f>
        <v>P-Right</v>
      </c>
      <c r="S11" s="125" t="str">
        <f>ModelState!I125</f>
        <v>P-Left</v>
      </c>
      <c r="T11" s="125" t="str">
        <f>ModelState!J125</f>
        <v>Panel 6</v>
      </c>
      <c r="U11" s="125" t="str">
        <f>ModelState!K125</f>
        <v>Panel 7</v>
      </c>
      <c r="V11" s="126" t="str">
        <f>ModelState!L125</f>
        <v>Panel 8</v>
      </c>
      <c r="W11" s="55"/>
      <c r="X11" s="55"/>
      <c r="Y11" s="55"/>
      <c r="Z11" s="55"/>
    </row>
    <row r="12" spans="2:26" hidden="1">
      <c r="B12" s="57"/>
      <c r="C12" s="57"/>
      <c r="D12" s="57"/>
      <c r="E12" s="54"/>
      <c r="F12" s="60"/>
      <c r="G12" s="54"/>
      <c r="H12" s="133"/>
      <c r="I12" s="57"/>
      <c r="J12" s="57"/>
      <c r="K12" s="57"/>
      <c r="L12" s="55"/>
      <c r="M12" s="305" t="s">
        <v>167</v>
      </c>
      <c r="N12" s="56" t="s">
        <v>36</v>
      </c>
      <c r="O12" s="125" t="b">
        <f>ModelState!E126</f>
        <v>0</v>
      </c>
      <c r="P12" s="125" t="b">
        <f>ModelState!F126</f>
        <v>0</v>
      </c>
      <c r="Q12" s="125" t="b">
        <f>ModelState!G126</f>
        <v>0</v>
      </c>
      <c r="R12" s="125" t="b">
        <f>ModelState!H126</f>
        <v>0</v>
      </c>
      <c r="S12" s="125" t="b">
        <f>ModelState!I126</f>
        <v>0</v>
      </c>
      <c r="T12" s="125" t="b">
        <f>ModelState!J126</f>
        <v>0</v>
      </c>
      <c r="U12" s="125" t="b">
        <f>ModelState!K126</f>
        <v>0</v>
      </c>
      <c r="V12" s="126" t="b">
        <f>ModelState!L126</f>
        <v>0</v>
      </c>
      <c r="W12" s="55"/>
      <c r="X12" s="55"/>
      <c r="Y12" s="55"/>
      <c r="Z12" s="55"/>
    </row>
    <row r="13" spans="2:26" hidden="1">
      <c r="B13" s="57"/>
      <c r="C13" s="57"/>
      <c r="D13" s="57"/>
      <c r="E13" s="54"/>
      <c r="F13" s="60"/>
      <c r="G13" s="54"/>
      <c r="H13" s="133"/>
      <c r="I13" s="57"/>
      <c r="J13" s="57"/>
      <c r="K13" s="57"/>
      <c r="L13" s="55"/>
      <c r="M13" s="305" t="s">
        <v>72</v>
      </c>
      <c r="N13" s="228" t="s">
        <v>202</v>
      </c>
      <c r="O13" s="120" t="str">
        <f>ModelState!E127</f>
        <v/>
      </c>
      <c r="P13" s="120" t="str">
        <f>ModelState!F127</f>
        <v/>
      </c>
      <c r="Q13" s="120" t="str">
        <f>ModelState!G127</f>
        <v/>
      </c>
      <c r="R13" s="120" t="str">
        <f>ModelState!H127</f>
        <v/>
      </c>
      <c r="S13" s="120" t="str">
        <f>ModelState!I127</f>
        <v/>
      </c>
      <c r="T13" s="120" t="str">
        <f>ModelState!J127</f>
        <v/>
      </c>
      <c r="U13" s="120" t="str">
        <f>ModelState!K127</f>
        <v/>
      </c>
      <c r="V13" s="121" t="str">
        <f>ModelState!L127</f>
        <v/>
      </c>
      <c r="W13" s="55"/>
      <c r="X13" s="55"/>
      <c r="Y13" s="55"/>
      <c r="Z13" s="55"/>
    </row>
    <row r="14" spans="2:26" ht="15" hidden="1" thickBot="1">
      <c r="B14" s="57"/>
      <c r="C14" s="57"/>
      <c r="D14" s="57"/>
      <c r="E14" s="54"/>
      <c r="F14" s="60"/>
      <c r="G14" s="54"/>
      <c r="H14" s="133"/>
      <c r="I14" s="57"/>
      <c r="J14" s="57"/>
      <c r="K14" s="57"/>
      <c r="L14" s="55"/>
      <c r="M14" s="315" t="s">
        <v>41</v>
      </c>
      <c r="N14" s="316" t="s">
        <v>0</v>
      </c>
      <c r="O14" s="317" t="str">
        <f>ModelState!E152</f>
        <v/>
      </c>
      <c r="P14" s="318" t="str">
        <f>ModelState!F152</f>
        <v/>
      </c>
      <c r="Q14" s="318" t="str">
        <f>ModelState!G152</f>
        <v/>
      </c>
      <c r="R14" s="318" t="str">
        <f>ModelState!H152</f>
        <v/>
      </c>
      <c r="S14" s="318" t="str">
        <f>ModelState!I152</f>
        <v/>
      </c>
      <c r="T14" s="318" t="str">
        <f>ModelState!J152</f>
        <v/>
      </c>
      <c r="U14" s="318" t="str">
        <f>ModelState!K152</f>
        <v/>
      </c>
      <c r="V14" s="320" t="str">
        <f>ModelState!L152</f>
        <v/>
      </c>
      <c r="W14" s="55"/>
      <c r="X14" s="55"/>
      <c r="Y14" s="55"/>
      <c r="Z14" s="55"/>
    </row>
    <row r="15" spans="2:26" hidden="1">
      <c r="B15" s="57"/>
      <c r="C15" s="57"/>
      <c r="D15" s="57"/>
      <c r="E15" s="54"/>
      <c r="F15" s="60"/>
      <c r="G15" s="54"/>
      <c r="H15" s="133"/>
      <c r="I15" s="57"/>
      <c r="J15" s="57"/>
      <c r="K15" s="57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</row>
    <row r="16" spans="2:26" hidden="1">
      <c r="B16" s="99"/>
      <c r="C16" s="99"/>
      <c r="D16" s="99"/>
      <c r="E16" s="54"/>
      <c r="F16" s="60"/>
      <c r="G16" s="54"/>
      <c r="H16" s="134"/>
      <c r="I16" s="57"/>
      <c r="J16" s="57"/>
      <c r="K16" s="57"/>
      <c r="L16" s="275"/>
      <c r="M16" s="312" t="s">
        <v>77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</row>
    <row r="17" spans="2:26" hidden="1">
      <c r="B17" s="99"/>
      <c r="C17" s="99"/>
      <c r="D17" s="99"/>
      <c r="E17" s="54"/>
      <c r="F17" s="60"/>
      <c r="G17" s="54"/>
      <c r="H17" s="134"/>
      <c r="I17" s="57"/>
      <c r="J17" s="57"/>
      <c r="K17" s="57"/>
      <c r="L17" s="27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</row>
    <row r="18" spans="2:26" ht="13.5" hidden="1" thickBot="1">
      <c r="B18" s="99"/>
      <c r="C18" s="99"/>
      <c r="D18" s="99"/>
      <c r="E18" s="54"/>
      <c r="F18" s="60"/>
      <c r="G18" s="54"/>
      <c r="H18" s="134"/>
      <c r="I18" s="57"/>
      <c r="J18" s="57"/>
      <c r="K18" s="57"/>
      <c r="L18" s="275"/>
      <c r="M18" s="325" t="s">
        <v>136</v>
      </c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</row>
    <row r="19" spans="2:26" hidden="1">
      <c r="B19" s="99"/>
      <c r="C19" s="99"/>
      <c r="D19" s="99"/>
      <c r="E19" s="54"/>
      <c r="F19" s="60"/>
      <c r="G19" s="54"/>
      <c r="H19" s="134"/>
      <c r="I19" s="57"/>
      <c r="J19" s="57"/>
      <c r="K19" s="57"/>
      <c r="L19" s="275"/>
      <c r="M19" s="311" t="s">
        <v>111</v>
      </c>
      <c r="N19" s="170" t="s">
        <v>109</v>
      </c>
      <c r="O19" s="192">
        <v>1</v>
      </c>
      <c r="P19" s="192">
        <v>2</v>
      </c>
      <c r="Q19" s="192">
        <v>3</v>
      </c>
      <c r="R19" s="192">
        <v>4</v>
      </c>
      <c r="S19" s="192">
        <v>5</v>
      </c>
      <c r="T19" s="192">
        <v>6</v>
      </c>
      <c r="U19" s="192">
        <v>7</v>
      </c>
      <c r="V19" s="192">
        <v>8</v>
      </c>
      <c r="W19" s="192">
        <v>9</v>
      </c>
      <c r="X19" s="192">
        <v>10</v>
      </c>
      <c r="Y19" s="192">
        <v>11</v>
      </c>
      <c r="Z19" s="193">
        <v>12</v>
      </c>
    </row>
    <row r="20" spans="2:26" hidden="1">
      <c r="B20" s="86"/>
      <c r="C20" s="86"/>
      <c r="D20" s="86"/>
      <c r="E20" s="54"/>
      <c r="F20" s="60"/>
      <c r="G20" s="54"/>
      <c r="H20" s="135"/>
      <c r="I20" s="57"/>
      <c r="J20" s="57"/>
      <c r="K20" s="57"/>
      <c r="L20" s="275"/>
      <c r="M20" s="306" t="s">
        <v>185</v>
      </c>
      <c r="N20" s="206" t="s">
        <v>202</v>
      </c>
      <c r="O20" s="314" t="str">
        <f>ModelState!E82</f>
        <v>Nadir</v>
      </c>
      <c r="P20" s="314" t="str">
        <f>ModelState!F82</f>
        <v>Away</v>
      </c>
      <c r="Q20" s="314" t="str">
        <f>ModelState!G82</f>
        <v>Ram</v>
      </c>
      <c r="R20" s="314" t="str">
        <f>ModelState!H82</f>
        <v>Left</v>
      </c>
      <c r="S20" s="314" t="str">
        <f>ModelState!I82</f>
        <v>Tail</v>
      </c>
      <c r="T20" s="314" t="str">
        <f>ModelState!J82</f>
        <v>Right</v>
      </c>
      <c r="U20" s="314" t="str">
        <f>ModelState!K82</f>
        <v>Side 5</v>
      </c>
      <c r="V20" s="314" t="str">
        <f>ModelState!L82</f>
        <v>Side 6</v>
      </c>
      <c r="W20" s="314" t="str">
        <f>ModelState!M82</f>
        <v>Side 7</v>
      </c>
      <c r="X20" s="314" t="str">
        <f>ModelState!N82</f>
        <v>Side 8</v>
      </c>
      <c r="Y20" s="314" t="str">
        <f>ModelState!O82</f>
        <v>Side 9</v>
      </c>
      <c r="Z20" s="321" t="str">
        <f>ModelState!P82</f>
        <v>Side 10</v>
      </c>
    </row>
    <row r="21" spans="2:26" ht="14.25" hidden="1">
      <c r="B21" s="86"/>
      <c r="C21" s="86"/>
      <c r="D21" s="86"/>
      <c r="E21" s="54"/>
      <c r="F21" s="60"/>
      <c r="G21" s="54"/>
      <c r="H21" s="135"/>
      <c r="I21" s="57"/>
      <c r="J21" s="57"/>
      <c r="K21" s="57"/>
      <c r="L21" s="275"/>
      <c r="M21" s="305" t="s">
        <v>50</v>
      </c>
      <c r="N21" s="56" t="s">
        <v>0</v>
      </c>
      <c r="O21" s="124">
        <f t="shared" ref="O21:Z22" si="0">IF(O$6,D75,"")</f>
        <v>100</v>
      </c>
      <c r="P21" s="124">
        <f t="shared" si="0"/>
        <v>100</v>
      </c>
      <c r="Q21" s="124">
        <f t="shared" si="0"/>
        <v>100</v>
      </c>
      <c r="R21" s="124">
        <f t="shared" si="0"/>
        <v>100</v>
      </c>
      <c r="S21" s="124">
        <f t="shared" si="0"/>
        <v>100</v>
      </c>
      <c r="T21" s="124">
        <f t="shared" si="0"/>
        <v>100</v>
      </c>
      <c r="U21" s="124" t="str">
        <f t="shared" si="0"/>
        <v/>
      </c>
      <c r="V21" s="124" t="str">
        <f t="shared" si="0"/>
        <v/>
      </c>
      <c r="W21" s="124" t="str">
        <f t="shared" si="0"/>
        <v/>
      </c>
      <c r="X21" s="124" t="str">
        <f t="shared" si="0"/>
        <v/>
      </c>
      <c r="Y21" s="124" t="str">
        <f t="shared" si="0"/>
        <v/>
      </c>
      <c r="Z21" s="129" t="str">
        <f t="shared" si="0"/>
        <v/>
      </c>
    </row>
    <row r="22" spans="2:26" ht="13.5" hidden="1" thickBot="1">
      <c r="B22" s="99"/>
      <c r="C22" s="99"/>
      <c r="D22" s="99"/>
      <c r="E22" s="54"/>
      <c r="F22" s="60"/>
      <c r="G22" s="54"/>
      <c r="H22" s="134"/>
      <c r="I22" s="57"/>
      <c r="J22" s="57"/>
      <c r="K22" s="57"/>
      <c r="L22" s="69"/>
      <c r="M22" s="308" t="s">
        <v>49</v>
      </c>
      <c r="N22" s="233" t="s">
        <v>202</v>
      </c>
      <c r="O22" s="322">
        <f t="shared" si="0"/>
        <v>0.31</v>
      </c>
      <c r="P22" s="322">
        <f t="shared" si="0"/>
        <v>0.31</v>
      </c>
      <c r="Q22" s="322">
        <f t="shared" si="0"/>
        <v>0.31</v>
      </c>
      <c r="R22" s="322">
        <f t="shared" si="0"/>
        <v>0.31</v>
      </c>
      <c r="S22" s="322">
        <f t="shared" si="0"/>
        <v>0.31</v>
      </c>
      <c r="T22" s="322">
        <f t="shared" si="0"/>
        <v>0.31</v>
      </c>
      <c r="U22" s="322" t="str">
        <f t="shared" si="0"/>
        <v/>
      </c>
      <c r="V22" s="322" t="str">
        <f t="shared" si="0"/>
        <v/>
      </c>
      <c r="W22" s="322" t="str">
        <f t="shared" si="0"/>
        <v/>
      </c>
      <c r="X22" s="322" t="str">
        <f t="shared" si="0"/>
        <v/>
      </c>
      <c r="Y22" s="322" t="str">
        <f t="shared" si="0"/>
        <v/>
      </c>
      <c r="Z22" s="323" t="str">
        <f t="shared" si="0"/>
        <v/>
      </c>
    </row>
    <row r="23" spans="2:26" hidden="1"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</row>
    <row r="24" spans="2:26" ht="13.5" hidden="1" thickBot="1">
      <c r="L24" s="55"/>
      <c r="M24" s="326" t="s">
        <v>137</v>
      </c>
      <c r="N24" s="324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2:26" hidden="1">
      <c r="L25" s="55"/>
      <c r="M25" s="311" t="s">
        <v>111</v>
      </c>
      <c r="N25" s="435"/>
      <c r="O25" s="192">
        <v>1</v>
      </c>
      <c r="P25" s="192">
        <v>2</v>
      </c>
      <c r="Q25" s="192">
        <v>3</v>
      </c>
      <c r="R25" s="192">
        <v>4</v>
      </c>
      <c r="S25" s="192">
        <v>5</v>
      </c>
      <c r="T25" s="192">
        <v>6</v>
      </c>
      <c r="U25" s="192">
        <v>7</v>
      </c>
      <c r="V25" s="193">
        <v>8</v>
      </c>
      <c r="W25" s="55"/>
      <c r="X25" s="55"/>
      <c r="Y25" s="55"/>
      <c r="Z25" s="55"/>
    </row>
    <row r="26" spans="2:26" hidden="1">
      <c r="L26" s="275"/>
      <c r="M26" s="306" t="s">
        <v>185</v>
      </c>
      <c r="N26" s="72" t="s">
        <v>202</v>
      </c>
      <c r="O26" s="327" t="str">
        <f>ModelState!E125</f>
        <v>Wing 1</v>
      </c>
      <c r="P26" s="327" t="str">
        <f>ModelState!F125</f>
        <v>Wing 2</v>
      </c>
      <c r="Q26" s="327" t="str">
        <f>ModelState!G125</f>
        <v>Left Tail</v>
      </c>
      <c r="R26" s="327" t="str">
        <f>ModelState!H125</f>
        <v>P-Right</v>
      </c>
      <c r="S26" s="327" t="str">
        <f>ModelState!I125</f>
        <v>P-Left</v>
      </c>
      <c r="T26" s="327" t="str">
        <f>ModelState!J125</f>
        <v>Panel 6</v>
      </c>
      <c r="U26" s="327" t="str">
        <f>ModelState!K125</f>
        <v>Panel 7</v>
      </c>
      <c r="V26" s="328" t="str">
        <f>ModelState!L125</f>
        <v>Panel 8</v>
      </c>
      <c r="W26" s="55"/>
      <c r="X26" s="55"/>
      <c r="Y26" s="55"/>
      <c r="Z26" s="55"/>
    </row>
    <row r="27" spans="2:26" hidden="1">
      <c r="L27" s="275"/>
      <c r="M27" s="238" t="s">
        <v>48</v>
      </c>
      <c r="N27" s="207"/>
      <c r="O27" s="33"/>
      <c r="P27" s="239"/>
      <c r="Q27" s="239"/>
      <c r="R27" s="239"/>
      <c r="S27" s="239"/>
      <c r="T27" s="239"/>
      <c r="U27" s="239"/>
      <c r="V27" s="240"/>
      <c r="W27" s="55"/>
      <c r="X27" s="55"/>
      <c r="Y27" s="55"/>
      <c r="Z27" s="55"/>
    </row>
    <row r="28" spans="2:26" ht="14.25" hidden="1">
      <c r="L28" s="275"/>
      <c r="M28" s="305" t="s">
        <v>50</v>
      </c>
      <c r="N28" s="56" t="s">
        <v>0</v>
      </c>
      <c r="O28" s="124" t="str">
        <f>IF(O$12,D85,"")</f>
        <v/>
      </c>
      <c r="P28" s="124" t="str">
        <f t="shared" ref="P28:V28" si="1">IF(P$12,E85,"")</f>
        <v/>
      </c>
      <c r="Q28" s="124" t="str">
        <f t="shared" si="1"/>
        <v/>
      </c>
      <c r="R28" s="124" t="str">
        <f t="shared" si="1"/>
        <v/>
      </c>
      <c r="S28" s="124" t="str">
        <f t="shared" si="1"/>
        <v/>
      </c>
      <c r="T28" s="124" t="str">
        <f t="shared" si="1"/>
        <v/>
      </c>
      <c r="U28" s="124" t="str">
        <f t="shared" si="1"/>
        <v/>
      </c>
      <c r="V28" s="129" t="str">
        <f t="shared" si="1"/>
        <v/>
      </c>
      <c r="W28" s="55"/>
      <c r="X28" s="55"/>
      <c r="Y28" s="55"/>
      <c r="Z28" s="55"/>
    </row>
    <row r="29" spans="2:26" ht="13.5" hidden="1" thickBot="1">
      <c r="L29" s="55"/>
      <c r="M29" s="308" t="s">
        <v>49</v>
      </c>
      <c r="N29" s="233" t="s">
        <v>202</v>
      </c>
      <c r="O29" s="124" t="str">
        <f>IF(O$12,D86,"")</f>
        <v/>
      </c>
      <c r="P29" s="124" t="str">
        <f t="shared" ref="P29:V29" si="2">IF(P$12,E86,"")</f>
        <v/>
      </c>
      <c r="Q29" s="124" t="str">
        <f t="shared" si="2"/>
        <v/>
      </c>
      <c r="R29" s="124" t="str">
        <f t="shared" si="2"/>
        <v/>
      </c>
      <c r="S29" s="124" t="str">
        <f t="shared" si="2"/>
        <v/>
      </c>
      <c r="T29" s="124" t="str">
        <f t="shared" si="2"/>
        <v/>
      </c>
      <c r="U29" s="124" t="str">
        <f t="shared" si="2"/>
        <v/>
      </c>
      <c r="V29" s="129" t="str">
        <f t="shared" si="2"/>
        <v/>
      </c>
      <c r="W29" s="55"/>
      <c r="X29" s="55"/>
      <c r="Y29" s="55"/>
      <c r="Z29" s="55"/>
    </row>
    <row r="30" spans="2:26" hidden="1">
      <c r="L30" s="55"/>
      <c r="M30" s="238" t="s">
        <v>56</v>
      </c>
      <c r="N30" s="274"/>
      <c r="O30" s="33"/>
      <c r="P30" s="239"/>
      <c r="Q30" s="239"/>
      <c r="R30" s="239"/>
      <c r="S30" s="239"/>
      <c r="T30" s="239"/>
      <c r="U30" s="239"/>
      <c r="V30" s="240"/>
      <c r="W30" s="55"/>
      <c r="X30" s="55"/>
      <c r="Y30" s="55"/>
      <c r="Z30" s="55"/>
    </row>
    <row r="31" spans="2:26" ht="14.25" hidden="1">
      <c r="L31" s="55"/>
      <c r="M31" s="305" t="s">
        <v>50</v>
      </c>
      <c r="N31" s="56" t="s">
        <v>0</v>
      </c>
      <c r="O31" s="124" t="str">
        <f t="shared" ref="O31:V32" si="3">IF(O$12,D88,"")</f>
        <v/>
      </c>
      <c r="P31" s="124" t="str">
        <f t="shared" si="3"/>
        <v/>
      </c>
      <c r="Q31" s="124" t="str">
        <f t="shared" si="3"/>
        <v/>
      </c>
      <c r="R31" s="124" t="str">
        <f t="shared" si="3"/>
        <v/>
      </c>
      <c r="S31" s="124" t="str">
        <f t="shared" si="3"/>
        <v/>
      </c>
      <c r="T31" s="124" t="str">
        <f t="shared" si="3"/>
        <v/>
      </c>
      <c r="U31" s="124" t="str">
        <f t="shared" si="3"/>
        <v/>
      </c>
      <c r="V31" s="129" t="str">
        <f t="shared" si="3"/>
        <v/>
      </c>
      <c r="W31" s="55"/>
      <c r="X31" s="55"/>
      <c r="Y31" s="55"/>
      <c r="Z31" s="55"/>
    </row>
    <row r="32" spans="2:26" ht="13.5" hidden="1" thickBot="1">
      <c r="L32" s="55"/>
      <c r="M32" s="308" t="s">
        <v>49</v>
      </c>
      <c r="N32" s="85" t="s">
        <v>202</v>
      </c>
      <c r="O32" s="322" t="str">
        <f t="shared" si="3"/>
        <v/>
      </c>
      <c r="P32" s="322" t="str">
        <f t="shared" si="3"/>
        <v/>
      </c>
      <c r="Q32" s="322" t="str">
        <f t="shared" si="3"/>
        <v/>
      </c>
      <c r="R32" s="322" t="str">
        <f t="shared" si="3"/>
        <v/>
      </c>
      <c r="S32" s="322" t="str">
        <f t="shared" si="3"/>
        <v/>
      </c>
      <c r="T32" s="322" t="str">
        <f t="shared" si="3"/>
        <v/>
      </c>
      <c r="U32" s="322" t="str">
        <f t="shared" si="3"/>
        <v/>
      </c>
      <c r="V32" s="323" t="str">
        <f t="shared" si="3"/>
        <v/>
      </c>
      <c r="W32" s="55"/>
      <c r="X32" s="55"/>
      <c r="Y32" s="55"/>
      <c r="Z32" s="55"/>
    </row>
    <row r="33" spans="2:26" hidden="1"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</row>
    <row r="34" spans="2:26" hidden="1"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</row>
    <row r="35" spans="2:26" ht="13.5" hidden="1" thickBot="1"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</row>
    <row r="36" spans="2:26" ht="26.25" thickBot="1">
      <c r="B36" s="330" t="s">
        <v>271</v>
      </c>
      <c r="C36" s="330"/>
      <c r="D36" s="330"/>
      <c r="I36" s="332" t="s">
        <v>236</v>
      </c>
      <c r="J36" s="333"/>
    </row>
    <row r="37" spans="2:26" ht="13.5" thickBot="1">
      <c r="I37" s="334" t="s">
        <v>237</v>
      </c>
      <c r="J37" s="335"/>
    </row>
    <row r="38" spans="2:26" ht="13.5" thickBot="1">
      <c r="I38" s="336" t="s">
        <v>238</v>
      </c>
      <c r="J38" s="337"/>
    </row>
    <row r="39" spans="2:26" ht="13.5" thickBot="1">
      <c r="H39" s="2"/>
      <c r="I39" s="338" t="s">
        <v>239</v>
      </c>
      <c r="J39" s="339"/>
    </row>
    <row r="40" spans="2:26" ht="13.5" thickBot="1">
      <c r="H40" s="2"/>
      <c r="I40" s="340" t="s">
        <v>240</v>
      </c>
      <c r="J40" s="341"/>
    </row>
    <row r="41" spans="2:26" ht="13.5" thickBot="1">
      <c r="H41" s="2"/>
      <c r="I41" s="342" t="s">
        <v>241</v>
      </c>
      <c r="J41" s="343"/>
    </row>
    <row r="42" spans="2:26" ht="21" thickBot="1">
      <c r="B42" s="329" t="s">
        <v>170</v>
      </c>
    </row>
    <row r="43" spans="2:26" ht="13.5" thickBot="1">
      <c r="B43" s="358" t="s">
        <v>111</v>
      </c>
      <c r="C43" s="1" t="s">
        <v>243</v>
      </c>
      <c r="D43" s="1" t="s">
        <v>244</v>
      </c>
      <c r="E43" s="345" t="s">
        <v>109</v>
      </c>
    </row>
    <row r="44" spans="2:26">
      <c r="B44" s="381" t="s">
        <v>256</v>
      </c>
      <c r="C44" s="374"/>
      <c r="D44" s="375">
        <v>500</v>
      </c>
      <c r="E44" s="376" t="s">
        <v>254</v>
      </c>
    </row>
    <row r="45" spans="2:26">
      <c r="B45" s="346" t="s">
        <v>152</v>
      </c>
      <c r="C45" s="377" t="s">
        <v>257</v>
      </c>
      <c r="D45" s="353">
        <v>51</v>
      </c>
      <c r="E45" s="348" t="s">
        <v>159</v>
      </c>
    </row>
    <row r="46" spans="2:26">
      <c r="B46" s="346" t="s">
        <v>160</v>
      </c>
      <c r="C46" s="377" t="s">
        <v>258</v>
      </c>
      <c r="D46" s="353">
        <v>0</v>
      </c>
      <c r="E46" s="348" t="s">
        <v>255</v>
      </c>
    </row>
    <row r="47" spans="2:26">
      <c r="B47" s="403" t="s">
        <v>318</v>
      </c>
      <c r="C47" s="378" t="s">
        <v>211</v>
      </c>
      <c r="D47" s="353">
        <v>0</v>
      </c>
      <c r="E47" s="348" t="s">
        <v>159</v>
      </c>
    </row>
    <row r="48" spans="2:26">
      <c r="B48" s="346" t="s">
        <v>262</v>
      </c>
      <c r="C48" s="378" t="s">
        <v>259</v>
      </c>
      <c r="D48" s="353">
        <v>0</v>
      </c>
      <c r="E48" s="348" t="s">
        <v>159</v>
      </c>
    </row>
    <row r="49" spans="2:6" ht="13.5" customHeight="1">
      <c r="B49" s="346" t="s">
        <v>263</v>
      </c>
      <c r="C49" s="378" t="s">
        <v>260</v>
      </c>
      <c r="D49" s="353">
        <v>0</v>
      </c>
      <c r="E49" s="348" t="s">
        <v>159</v>
      </c>
    </row>
    <row r="50" spans="2:6" ht="16.5" thickBot="1">
      <c r="B50" s="355" t="s">
        <v>264</v>
      </c>
      <c r="C50" s="379" t="s">
        <v>261</v>
      </c>
      <c r="D50" s="380">
        <v>0</v>
      </c>
      <c r="E50" s="357" t="s">
        <v>159</v>
      </c>
    </row>
    <row r="51" spans="2:6">
      <c r="D51"/>
    </row>
    <row r="52" spans="2:6" ht="21" thickBot="1">
      <c r="B52" s="329" t="s">
        <v>171</v>
      </c>
      <c r="C52" s="3"/>
      <c r="D52">
        <v>1</v>
      </c>
      <c r="F52" s="131">
        <v>0</v>
      </c>
    </row>
    <row r="53" spans="2:6">
      <c r="B53" s="352" t="s">
        <v>172</v>
      </c>
      <c r="C53" s="382"/>
      <c r="D53" s="375"/>
      <c r="E53" s="376"/>
      <c r="F53" s="131">
        <v>1</v>
      </c>
    </row>
    <row r="54" spans="2:6">
      <c r="B54" s="346" t="s">
        <v>174</v>
      </c>
      <c r="C54" s="347"/>
      <c r="D54" s="353">
        <v>0</v>
      </c>
      <c r="E54" s="348" t="s">
        <v>159</v>
      </c>
      <c r="F54" s="131">
        <v>2</v>
      </c>
    </row>
    <row r="55" spans="2:6">
      <c r="B55" s="346" t="s">
        <v>175</v>
      </c>
      <c r="C55" s="347"/>
      <c r="D55" s="353">
        <v>0</v>
      </c>
      <c r="E55" s="348" t="s">
        <v>159</v>
      </c>
      <c r="F55" s="131">
        <v>3</v>
      </c>
    </row>
    <row r="56" spans="2:6" ht="13.5" thickBot="1">
      <c r="B56" s="346" t="s">
        <v>176</v>
      </c>
      <c r="C56" s="347"/>
      <c r="D56" s="353">
        <v>0</v>
      </c>
      <c r="E56" s="348" t="s">
        <v>159</v>
      </c>
      <c r="F56" s="131">
        <v>4</v>
      </c>
    </row>
    <row r="57" spans="2:6">
      <c r="B57" s="352" t="s">
        <v>173</v>
      </c>
      <c r="C57" s="347"/>
      <c r="D57" s="353"/>
      <c r="E57" s="348"/>
      <c r="F57" s="131">
        <v>5</v>
      </c>
    </row>
    <row r="58" spans="2:6">
      <c r="B58" s="346" t="s">
        <v>174</v>
      </c>
      <c r="C58" s="347"/>
      <c r="D58" s="353">
        <v>0</v>
      </c>
      <c r="E58" s="348" t="s">
        <v>159</v>
      </c>
      <c r="F58" s="131">
        <v>6</v>
      </c>
    </row>
    <row r="59" spans="2:6">
      <c r="B59" s="346" t="s">
        <v>175</v>
      </c>
      <c r="C59" s="347"/>
      <c r="D59" s="353">
        <v>-90</v>
      </c>
      <c r="E59" s="348" t="s">
        <v>159</v>
      </c>
      <c r="F59" s="131">
        <v>7</v>
      </c>
    </row>
    <row r="60" spans="2:6" ht="13.5" thickBot="1">
      <c r="B60" s="346" t="s">
        <v>176</v>
      </c>
      <c r="C60" s="347"/>
      <c r="D60" s="353">
        <v>0</v>
      </c>
      <c r="E60" s="348" t="s">
        <v>159</v>
      </c>
      <c r="F60" s="131">
        <v>8</v>
      </c>
    </row>
    <row r="61" spans="2:6">
      <c r="B61" s="352" t="s">
        <v>177</v>
      </c>
      <c r="C61" s="347"/>
      <c r="D61" s="353"/>
      <c r="E61" s="348"/>
      <c r="F61" s="131">
        <v>9</v>
      </c>
    </row>
    <row r="62" spans="2:6">
      <c r="B62" s="346" t="s">
        <v>179</v>
      </c>
      <c r="C62" s="347"/>
      <c r="D62" s="353">
        <v>45</v>
      </c>
      <c r="E62" s="348" t="s">
        <v>159</v>
      </c>
      <c r="F62" s="131">
        <v>10</v>
      </c>
    </row>
    <row r="63" spans="2:6">
      <c r="B63" s="346" t="s">
        <v>180</v>
      </c>
      <c r="C63" s="347"/>
      <c r="D63" s="353">
        <v>0</v>
      </c>
      <c r="E63" s="348" t="s">
        <v>159</v>
      </c>
      <c r="F63" s="131">
        <v>11</v>
      </c>
    </row>
    <row r="64" spans="2:6" ht="13.5" thickBot="1">
      <c r="B64" s="346" t="s">
        <v>178</v>
      </c>
      <c r="C64" s="347"/>
      <c r="D64" s="353">
        <v>0</v>
      </c>
      <c r="E64" s="348" t="s">
        <v>159</v>
      </c>
      <c r="F64" s="131">
        <v>12</v>
      </c>
    </row>
    <row r="65" spans="2:20">
      <c r="B65" s="352" t="s">
        <v>181</v>
      </c>
      <c r="C65" s="347"/>
      <c r="D65" s="364" t="b">
        <v>1</v>
      </c>
      <c r="E65" s="348"/>
      <c r="F65" s="131">
        <v>13</v>
      </c>
    </row>
    <row r="66" spans="2:20">
      <c r="B66" s="346" t="s">
        <v>182</v>
      </c>
      <c r="C66" s="347"/>
      <c r="D66" s="353">
        <v>0</v>
      </c>
      <c r="E66" s="348" t="s">
        <v>265</v>
      </c>
      <c r="F66" s="131">
        <v>14</v>
      </c>
      <c r="S66" s="10"/>
      <c r="T66" s="10"/>
    </row>
    <row r="67" spans="2:20">
      <c r="B67" s="346" t="s">
        <v>183</v>
      </c>
      <c r="C67" s="347"/>
      <c r="D67" s="353">
        <v>0.1</v>
      </c>
      <c r="E67" s="348" t="s">
        <v>265</v>
      </c>
      <c r="F67" s="131">
        <v>15</v>
      </c>
    </row>
    <row r="68" spans="2:20" ht="13.5" thickBot="1">
      <c r="B68" s="355" t="s">
        <v>184</v>
      </c>
      <c r="C68" s="356"/>
      <c r="D68" s="380">
        <v>0</v>
      </c>
      <c r="E68" s="357" t="s">
        <v>265</v>
      </c>
      <c r="F68" s="132">
        <v>16</v>
      </c>
      <c r="G68" s="2"/>
      <c r="H68" s="2"/>
      <c r="I68" s="2"/>
      <c r="J68" s="2"/>
      <c r="K68" s="2"/>
      <c r="L68" s="2"/>
      <c r="M68" s="2"/>
      <c r="N68" s="2"/>
    </row>
    <row r="69" spans="2:20" s="344" customFormat="1">
      <c r="B69"/>
      <c r="C69"/>
      <c r="D69"/>
      <c r="E69"/>
      <c r="F69" s="132"/>
      <c r="G69" s="2"/>
      <c r="H69" s="2"/>
      <c r="I69" s="2"/>
      <c r="J69" s="2"/>
      <c r="K69" s="2"/>
      <c r="L69" s="2"/>
      <c r="M69" s="2"/>
      <c r="N69" s="2"/>
    </row>
    <row r="70" spans="2:20" s="344" customFormat="1" ht="21" thickBot="1">
      <c r="B70" s="329" t="s">
        <v>213</v>
      </c>
      <c r="C70"/>
      <c r="D70"/>
      <c r="E70"/>
      <c r="F70"/>
      <c r="G70"/>
      <c r="H70"/>
      <c r="I70"/>
      <c r="J70"/>
      <c r="K70"/>
      <c r="L70"/>
      <c r="M70"/>
      <c r="N70"/>
      <c r="O70"/>
      <c r="Q70" s="436" t="s">
        <v>319</v>
      </c>
      <c r="R70" s="437"/>
      <c r="S70" s="438"/>
      <c r="T70" s="438"/>
    </row>
    <row r="71" spans="2:20" s="344" customFormat="1" ht="13.5" thickBot="1">
      <c r="B71" s="358" t="s">
        <v>111</v>
      </c>
      <c r="C71" s="349" t="s">
        <v>109</v>
      </c>
      <c r="D71" s="349">
        <v>1</v>
      </c>
      <c r="E71" s="349">
        <v>2</v>
      </c>
      <c r="F71" s="349">
        <v>3</v>
      </c>
      <c r="G71" s="349">
        <v>4</v>
      </c>
      <c r="H71" s="349">
        <v>5</v>
      </c>
      <c r="I71" s="349">
        <v>6</v>
      </c>
      <c r="J71" s="349">
        <v>7</v>
      </c>
      <c r="K71" s="349">
        <v>8</v>
      </c>
      <c r="L71" s="349">
        <v>9</v>
      </c>
      <c r="M71" s="349">
        <v>10</v>
      </c>
      <c r="N71" s="349">
        <v>11</v>
      </c>
      <c r="O71" s="392">
        <v>12</v>
      </c>
      <c r="Q71" s="439" t="s">
        <v>103</v>
      </c>
      <c r="R71" s="440" t="s">
        <v>243</v>
      </c>
      <c r="S71" s="440" t="s">
        <v>244</v>
      </c>
      <c r="T71" s="441" t="s">
        <v>109</v>
      </c>
    </row>
    <row r="72" spans="2:20" s="344" customFormat="1" ht="15.75">
      <c r="B72" s="381" t="s">
        <v>266</v>
      </c>
      <c r="C72" s="393" t="s">
        <v>202</v>
      </c>
      <c r="D72" s="394" t="str">
        <f t="shared" ref="D72:O74" si="4">O5</f>
        <v>Nadir</v>
      </c>
      <c r="E72" s="394" t="str">
        <f t="shared" si="4"/>
        <v>Away</v>
      </c>
      <c r="F72" s="394" t="str">
        <f>Q5</f>
        <v>Ram</v>
      </c>
      <c r="G72" s="394" t="str">
        <f>R5</f>
        <v>Left</v>
      </c>
      <c r="H72" s="394" t="str">
        <f>S5</f>
        <v>Tail</v>
      </c>
      <c r="I72" s="394" t="str">
        <f t="shared" si="4"/>
        <v>Right</v>
      </c>
      <c r="J72" s="394" t="str">
        <f t="shared" si="4"/>
        <v>Side 5</v>
      </c>
      <c r="K72" s="394" t="str">
        <f t="shared" si="4"/>
        <v>Side 6</v>
      </c>
      <c r="L72" s="394" t="str">
        <f t="shared" si="4"/>
        <v>Side 7</v>
      </c>
      <c r="M72" s="394" t="str">
        <f t="shared" si="4"/>
        <v>Side 8</v>
      </c>
      <c r="N72" s="395" t="str">
        <f t="shared" si="4"/>
        <v>Side 9</v>
      </c>
      <c r="O72" s="396" t="str">
        <f t="shared" si="4"/>
        <v>Side 10</v>
      </c>
      <c r="Q72" s="442" t="s">
        <v>295</v>
      </c>
      <c r="R72" s="443" t="s">
        <v>296</v>
      </c>
      <c r="S72" s="444">
        <v>27</v>
      </c>
      <c r="T72" s="445" t="s">
        <v>0</v>
      </c>
    </row>
    <row r="73" spans="2:20" s="344" customFormat="1">
      <c r="B73" s="346" t="s">
        <v>167</v>
      </c>
      <c r="C73" s="347" t="s">
        <v>36</v>
      </c>
      <c r="D73" s="385" t="b">
        <f t="shared" si="4"/>
        <v>1</v>
      </c>
      <c r="E73" s="385" t="b">
        <f t="shared" si="4"/>
        <v>1</v>
      </c>
      <c r="F73" s="385" t="b">
        <f t="shared" si="4"/>
        <v>1</v>
      </c>
      <c r="G73" s="385" t="b">
        <f t="shared" si="4"/>
        <v>1</v>
      </c>
      <c r="H73" s="385" t="b">
        <f t="shared" si="4"/>
        <v>1</v>
      </c>
      <c r="I73" s="385" t="b">
        <f t="shared" si="4"/>
        <v>1</v>
      </c>
      <c r="J73" s="385" t="b">
        <f t="shared" si="4"/>
        <v>0</v>
      </c>
      <c r="K73" s="385" t="b">
        <f t="shared" si="4"/>
        <v>0</v>
      </c>
      <c r="L73" s="385" t="b">
        <f t="shared" si="4"/>
        <v>0</v>
      </c>
      <c r="M73" s="385" t="b">
        <f t="shared" si="4"/>
        <v>0</v>
      </c>
      <c r="N73" s="389" t="b">
        <f t="shared" si="4"/>
        <v>0</v>
      </c>
      <c r="O73" s="390" t="b">
        <f t="shared" si="4"/>
        <v>0</v>
      </c>
      <c r="Q73" s="446" t="s">
        <v>297</v>
      </c>
      <c r="R73" s="447"/>
      <c r="S73" s="444">
        <v>0.31</v>
      </c>
      <c r="T73" s="448" t="s">
        <v>298</v>
      </c>
    </row>
    <row r="74" spans="2:20" s="344" customFormat="1" ht="15.75">
      <c r="B74" s="346" t="s">
        <v>270</v>
      </c>
      <c r="C74" s="347" t="s">
        <v>0</v>
      </c>
      <c r="D74" s="385">
        <f t="shared" si="4"/>
        <v>100</v>
      </c>
      <c r="E74" s="385">
        <f t="shared" si="4"/>
        <v>100</v>
      </c>
      <c r="F74" s="385">
        <f t="shared" si="4"/>
        <v>100</v>
      </c>
      <c r="G74" s="385">
        <f t="shared" si="4"/>
        <v>100</v>
      </c>
      <c r="H74" s="385">
        <f t="shared" si="4"/>
        <v>100</v>
      </c>
      <c r="I74" s="385">
        <f t="shared" si="4"/>
        <v>100</v>
      </c>
      <c r="J74" s="385" t="str">
        <f t="shared" si="4"/>
        <v/>
      </c>
      <c r="K74" s="385" t="str">
        <f t="shared" si="4"/>
        <v/>
      </c>
      <c r="L74" s="385" t="str">
        <f t="shared" si="4"/>
        <v/>
      </c>
      <c r="M74" s="385" t="str">
        <f t="shared" si="4"/>
        <v/>
      </c>
      <c r="N74" s="389" t="str">
        <f t="shared" si="4"/>
        <v/>
      </c>
      <c r="O74" s="390" t="str">
        <f t="shared" si="4"/>
        <v/>
      </c>
      <c r="Q74" s="446" t="s">
        <v>299</v>
      </c>
      <c r="R74" s="449" t="s">
        <v>300</v>
      </c>
      <c r="S74" s="444">
        <v>2.39</v>
      </c>
      <c r="T74" s="450" t="s">
        <v>301</v>
      </c>
    </row>
    <row r="75" spans="2:20" s="344" customFormat="1" ht="15.75">
      <c r="B75" s="346" t="s">
        <v>267</v>
      </c>
      <c r="C75" s="347" t="s">
        <v>0</v>
      </c>
      <c r="D75" s="383">
        <v>100</v>
      </c>
      <c r="E75" s="383">
        <v>100</v>
      </c>
      <c r="F75" s="383">
        <v>100</v>
      </c>
      <c r="G75" s="383">
        <v>100</v>
      </c>
      <c r="H75" s="383">
        <v>100</v>
      </c>
      <c r="I75" s="383">
        <v>100</v>
      </c>
      <c r="J75" s="383">
        <v>0</v>
      </c>
      <c r="K75" s="383">
        <v>0</v>
      </c>
      <c r="L75" s="383">
        <v>0</v>
      </c>
      <c r="M75" s="383">
        <v>0</v>
      </c>
      <c r="N75" s="353">
        <v>0</v>
      </c>
      <c r="O75" s="391">
        <v>0</v>
      </c>
      <c r="Q75" s="446" t="s">
        <v>302</v>
      </c>
      <c r="R75" s="449" t="s">
        <v>303</v>
      </c>
      <c r="S75" s="444">
        <v>17.399999999999999</v>
      </c>
      <c r="T75" s="448" t="s">
        <v>304</v>
      </c>
    </row>
    <row r="76" spans="2:20" s="344" customFormat="1" ht="16.5" thickBot="1">
      <c r="B76" s="355" t="s">
        <v>229</v>
      </c>
      <c r="C76" s="397" t="s">
        <v>268</v>
      </c>
      <c r="D76" s="459">
        <v>0.31</v>
      </c>
      <c r="E76" s="459">
        <v>0.31</v>
      </c>
      <c r="F76" s="459">
        <v>0.31</v>
      </c>
      <c r="G76" s="459">
        <v>0.31</v>
      </c>
      <c r="H76" s="459">
        <v>0.31</v>
      </c>
      <c r="I76" s="459">
        <v>0.31</v>
      </c>
      <c r="J76" s="459">
        <v>0.307</v>
      </c>
      <c r="K76" s="459">
        <v>0.307</v>
      </c>
      <c r="L76" s="459">
        <v>0.307</v>
      </c>
      <c r="M76" s="459">
        <v>0.307</v>
      </c>
      <c r="N76" s="460">
        <v>0.307</v>
      </c>
      <c r="O76" s="461">
        <v>0.307</v>
      </c>
      <c r="Q76" s="442" t="s">
        <v>305</v>
      </c>
      <c r="R76" s="443" t="s">
        <v>306</v>
      </c>
      <c r="S76" s="451">
        <f>S72*S75*S74</f>
        <v>1122.8219999999999</v>
      </c>
      <c r="T76" s="445" t="s">
        <v>307</v>
      </c>
    </row>
    <row r="77" spans="2:20" s="344" customFormat="1" ht="15.75">
      <c r="B77"/>
      <c r="C77"/>
      <c r="D77"/>
      <c r="E77"/>
      <c r="F77" s="132"/>
      <c r="G77" s="2"/>
      <c r="H77" s="2"/>
      <c r="I77" s="2"/>
      <c r="J77" s="2"/>
      <c r="K77" s="2"/>
      <c r="L77" s="2"/>
      <c r="M77" s="2"/>
      <c r="N77" s="2"/>
      <c r="Q77" s="442" t="s">
        <v>305</v>
      </c>
      <c r="R77" s="443" t="s">
        <v>306</v>
      </c>
      <c r="S77" s="452">
        <f>S72*S73*135.3</f>
        <v>1132.461</v>
      </c>
      <c r="T77" s="445" t="s">
        <v>307</v>
      </c>
    </row>
    <row r="78" spans="2:20" s="344" customFormat="1" ht="21" thickBot="1">
      <c r="B78" s="329" t="s">
        <v>165</v>
      </c>
      <c r="C78"/>
      <c r="D78"/>
      <c r="E78"/>
      <c r="F78"/>
      <c r="G78"/>
      <c r="H78"/>
      <c r="I78"/>
      <c r="J78"/>
      <c r="K78"/>
      <c r="L78" s="2"/>
      <c r="M78" s="2"/>
      <c r="N78" s="2"/>
      <c r="Q78" s="453" t="s">
        <v>308</v>
      </c>
      <c r="R78" s="447"/>
      <c r="S78" s="444">
        <v>2</v>
      </c>
      <c r="T78" s="448" t="s">
        <v>34</v>
      </c>
    </row>
    <row r="79" spans="2:20" s="344" customFormat="1">
      <c r="B79" s="352" t="s">
        <v>111</v>
      </c>
      <c r="C79" s="359" t="s">
        <v>109</v>
      </c>
      <c r="D79" s="359">
        <v>13</v>
      </c>
      <c r="E79" s="359">
        <v>14</v>
      </c>
      <c r="F79" s="359">
        <v>15</v>
      </c>
      <c r="G79" s="359">
        <v>16</v>
      </c>
      <c r="H79" s="359">
        <v>17</v>
      </c>
      <c r="I79" s="359">
        <v>18</v>
      </c>
      <c r="J79" s="359">
        <v>19</v>
      </c>
      <c r="K79" s="360">
        <v>20</v>
      </c>
      <c r="L79" s="2"/>
      <c r="M79" s="2"/>
      <c r="N79" s="2"/>
      <c r="Q79" s="453" t="s">
        <v>309</v>
      </c>
      <c r="R79" s="447"/>
      <c r="S79" s="444">
        <v>1</v>
      </c>
      <c r="T79" s="448" t="s">
        <v>34</v>
      </c>
    </row>
    <row r="80" spans="2:20" s="344" customFormat="1" ht="15.75">
      <c r="B80" s="346" t="s">
        <v>185</v>
      </c>
      <c r="C80" s="366" t="s">
        <v>202</v>
      </c>
      <c r="D80" s="384" t="str">
        <f t="shared" ref="D80:K81" si="5">O11</f>
        <v>Wing 1</v>
      </c>
      <c r="E80" s="384" t="str">
        <f t="shared" si="5"/>
        <v>Wing 2</v>
      </c>
      <c r="F80" s="384" t="str">
        <f t="shared" si="5"/>
        <v>Left Tail</v>
      </c>
      <c r="G80" s="384" t="str">
        <f t="shared" si="5"/>
        <v>P-Right</v>
      </c>
      <c r="H80" s="384" t="str">
        <f t="shared" si="5"/>
        <v>P-Left</v>
      </c>
      <c r="I80" s="384" t="str">
        <f t="shared" si="5"/>
        <v>Panel 6</v>
      </c>
      <c r="J80" s="384" t="str">
        <f t="shared" si="5"/>
        <v>Panel 7</v>
      </c>
      <c r="K80" s="398" t="str">
        <f t="shared" si="5"/>
        <v>Panel 8</v>
      </c>
      <c r="L80" s="2"/>
      <c r="M80" s="2"/>
      <c r="N80" s="2"/>
      <c r="Q80" s="446" t="s">
        <v>310</v>
      </c>
      <c r="R80" s="449" t="s">
        <v>311</v>
      </c>
      <c r="S80" s="454">
        <f>S78*S79</f>
        <v>2</v>
      </c>
      <c r="T80" s="448" t="s">
        <v>34</v>
      </c>
    </row>
    <row r="81" spans="2:20" s="344" customFormat="1" ht="15.75">
      <c r="B81" s="346" t="s">
        <v>167</v>
      </c>
      <c r="C81" s="347" t="s">
        <v>36</v>
      </c>
      <c r="D81" s="384" t="b">
        <f t="shared" si="5"/>
        <v>0</v>
      </c>
      <c r="E81" s="384" t="b">
        <f t="shared" si="5"/>
        <v>0</v>
      </c>
      <c r="F81" s="384" t="b">
        <f t="shared" si="5"/>
        <v>0</v>
      </c>
      <c r="G81" s="384" t="b">
        <f t="shared" si="5"/>
        <v>0</v>
      </c>
      <c r="H81" s="384" t="b">
        <f t="shared" si="5"/>
        <v>0</v>
      </c>
      <c r="I81" s="384" t="b">
        <f t="shared" si="5"/>
        <v>0</v>
      </c>
      <c r="J81" s="384" t="b">
        <f t="shared" si="5"/>
        <v>0</v>
      </c>
      <c r="K81" s="398" t="b">
        <f t="shared" si="5"/>
        <v>0</v>
      </c>
      <c r="L81" s="2"/>
      <c r="M81" s="2"/>
      <c r="N81" s="2"/>
      <c r="Q81" s="442" t="s">
        <v>312</v>
      </c>
      <c r="R81" s="449" t="s">
        <v>313</v>
      </c>
      <c r="S81" s="452">
        <f>S80*S72</f>
        <v>54</v>
      </c>
      <c r="T81" s="445" t="s">
        <v>0</v>
      </c>
    </row>
    <row r="82" spans="2:20" s="344" customFormat="1">
      <c r="B82" s="346" t="s">
        <v>107</v>
      </c>
      <c r="C82" s="366" t="s">
        <v>202</v>
      </c>
      <c r="D82" s="384" t="str">
        <f t="shared" ref="D82:K82" si="6">IF(D81, IF(O13=1,"no",IF(O13=2,"1-axis","2-axis")),"")</f>
        <v/>
      </c>
      <c r="E82" s="384" t="str">
        <f t="shared" si="6"/>
        <v/>
      </c>
      <c r="F82" s="384" t="str">
        <f t="shared" si="6"/>
        <v/>
      </c>
      <c r="G82" s="384" t="str">
        <f t="shared" si="6"/>
        <v/>
      </c>
      <c r="H82" s="384" t="str">
        <f t="shared" si="6"/>
        <v/>
      </c>
      <c r="I82" s="384" t="str">
        <f t="shared" si="6"/>
        <v/>
      </c>
      <c r="J82" s="384" t="str">
        <f t="shared" si="6"/>
        <v/>
      </c>
      <c r="K82" s="398" t="str">
        <f t="shared" si="6"/>
        <v/>
      </c>
      <c r="L82" s="2"/>
      <c r="M82" s="2"/>
      <c r="N82" s="2"/>
      <c r="Q82" s="446" t="s">
        <v>314</v>
      </c>
      <c r="R82" s="447"/>
      <c r="S82" s="452">
        <f>S74*S78</f>
        <v>4.78</v>
      </c>
      <c r="T82" s="448" t="s">
        <v>301</v>
      </c>
    </row>
    <row r="83" spans="2:20" s="344" customFormat="1" ht="15" thickBot="1">
      <c r="B83" s="346" t="s">
        <v>269</v>
      </c>
      <c r="C83" s="347" t="s">
        <v>0</v>
      </c>
      <c r="D83" s="385" t="str">
        <f t="shared" ref="D83:K83" si="7">O14</f>
        <v/>
      </c>
      <c r="E83" s="385" t="str">
        <f t="shared" si="7"/>
        <v/>
      </c>
      <c r="F83" s="385" t="str">
        <f t="shared" si="7"/>
        <v/>
      </c>
      <c r="G83" s="385" t="str">
        <f t="shared" si="7"/>
        <v/>
      </c>
      <c r="H83" s="385" t="str">
        <f t="shared" si="7"/>
        <v/>
      </c>
      <c r="I83" s="385" t="str">
        <f t="shared" si="7"/>
        <v/>
      </c>
      <c r="J83" s="385" t="str">
        <f t="shared" si="7"/>
        <v/>
      </c>
      <c r="K83" s="390" t="str">
        <f t="shared" si="7"/>
        <v/>
      </c>
      <c r="L83" s="2"/>
      <c r="M83" s="2"/>
      <c r="N83" s="2"/>
      <c r="Q83" s="446" t="s">
        <v>315</v>
      </c>
      <c r="R83" s="447"/>
      <c r="S83" s="452">
        <f>S81*S75/1000</f>
        <v>0.93959999999999988</v>
      </c>
      <c r="T83" s="448" t="s">
        <v>316</v>
      </c>
    </row>
    <row r="84" spans="2:20" s="344" customFormat="1" ht="16.5" thickBot="1">
      <c r="B84" s="352" t="s">
        <v>48</v>
      </c>
      <c r="C84" s="359"/>
      <c r="D84" s="359"/>
      <c r="E84" s="359"/>
      <c r="F84" s="359"/>
      <c r="G84" s="359"/>
      <c r="H84" s="359"/>
      <c r="I84" s="359"/>
      <c r="J84" s="359"/>
      <c r="K84" s="360"/>
      <c r="L84" s="2"/>
      <c r="M84" s="2"/>
      <c r="N84" s="2"/>
      <c r="Q84" s="455" t="s">
        <v>317</v>
      </c>
      <c r="R84" s="456" t="s">
        <v>306</v>
      </c>
      <c r="S84" s="457">
        <f>S76*S80/1000</f>
        <v>2.245644</v>
      </c>
      <c r="T84" s="458" t="s">
        <v>211</v>
      </c>
    </row>
    <row r="85" spans="2:20" s="344" customFormat="1" ht="14.25">
      <c r="B85" s="346" t="s">
        <v>50</v>
      </c>
      <c r="C85" s="347" t="s">
        <v>0</v>
      </c>
      <c r="D85" s="386">
        <v>360</v>
      </c>
      <c r="E85" s="386">
        <v>0</v>
      </c>
      <c r="F85" s="386">
        <v>0</v>
      </c>
      <c r="G85" s="386">
        <v>0</v>
      </c>
      <c r="H85" s="386">
        <v>0</v>
      </c>
      <c r="I85" s="386">
        <v>0</v>
      </c>
      <c r="J85" s="386">
        <v>0</v>
      </c>
      <c r="K85" s="399">
        <v>0</v>
      </c>
      <c r="L85" s="2"/>
      <c r="M85" s="2"/>
      <c r="N85" s="2"/>
    </row>
    <row r="86" spans="2:20" s="344" customFormat="1" ht="13.5" thickBot="1">
      <c r="B86" s="346" t="s">
        <v>49</v>
      </c>
      <c r="C86" s="397" t="s">
        <v>268</v>
      </c>
      <c r="D86" s="462">
        <v>0.29499999999999998</v>
      </c>
      <c r="E86" s="462">
        <v>0.29499999999999998</v>
      </c>
      <c r="F86" s="462">
        <v>0.29499999999999998</v>
      </c>
      <c r="G86" s="462">
        <v>0.29499999999999998</v>
      </c>
      <c r="H86" s="462">
        <v>0.29499999999999998</v>
      </c>
      <c r="I86" s="462">
        <v>0.29499999999999998</v>
      </c>
      <c r="J86" s="462">
        <v>0.29499999999999998</v>
      </c>
      <c r="K86" s="463">
        <v>0.29499999999999998</v>
      </c>
      <c r="L86" s="2"/>
      <c r="M86" s="2"/>
      <c r="N86" s="2"/>
    </row>
    <row r="87" spans="2:20" s="344" customFormat="1">
      <c r="B87" s="352" t="s">
        <v>56</v>
      </c>
      <c r="C87" s="400"/>
      <c r="D87" s="359"/>
      <c r="E87" s="359"/>
      <c r="F87" s="359"/>
      <c r="G87" s="359"/>
      <c r="H87" s="359"/>
      <c r="I87" s="359"/>
      <c r="J87" s="359"/>
      <c r="K87" s="360"/>
      <c r="L87" s="2"/>
      <c r="M87" s="2"/>
      <c r="N87" s="2"/>
    </row>
    <row r="88" spans="2:20" s="344" customFormat="1" ht="14.25">
      <c r="B88" s="346" t="s">
        <v>50</v>
      </c>
      <c r="C88" s="347" t="s">
        <v>0</v>
      </c>
      <c r="D88" s="386">
        <v>0</v>
      </c>
      <c r="E88" s="386">
        <v>0</v>
      </c>
      <c r="F88" s="386">
        <v>0</v>
      </c>
      <c r="G88" s="386">
        <v>0</v>
      </c>
      <c r="H88" s="386">
        <v>0</v>
      </c>
      <c r="I88" s="386">
        <v>0</v>
      </c>
      <c r="J88" s="386">
        <v>0</v>
      </c>
      <c r="K88" s="399">
        <v>0</v>
      </c>
      <c r="L88" s="2"/>
      <c r="M88" s="2"/>
      <c r="N88" s="2"/>
    </row>
    <row r="89" spans="2:20" s="344" customFormat="1" ht="13.5" thickBot="1">
      <c r="B89" s="355" t="s">
        <v>49</v>
      </c>
      <c r="C89" s="397" t="s">
        <v>268</v>
      </c>
      <c r="D89" s="464">
        <v>0.29499999999999998</v>
      </c>
      <c r="E89" s="464">
        <v>0.29499999999999998</v>
      </c>
      <c r="F89" s="464">
        <v>0.29499999999999998</v>
      </c>
      <c r="G89" s="464">
        <v>0.29499999999999998</v>
      </c>
      <c r="H89" s="464">
        <v>0.29499999999999998</v>
      </c>
      <c r="I89" s="464">
        <v>0.29499999999999998</v>
      </c>
      <c r="J89" s="464">
        <v>0.29499999999999998</v>
      </c>
      <c r="K89" s="465">
        <v>0.29499999999999998</v>
      </c>
      <c r="L89" s="2"/>
      <c r="M89" s="2"/>
      <c r="N89" s="2"/>
    </row>
    <row r="90" spans="2:20">
      <c r="F90" s="2"/>
      <c r="G90" s="2"/>
      <c r="H90" s="2"/>
      <c r="I90" s="2"/>
      <c r="J90" s="2"/>
      <c r="K90" s="2"/>
      <c r="L90" s="2"/>
      <c r="M90" s="2"/>
      <c r="N90" s="2"/>
    </row>
    <row r="91" spans="2:20">
      <c r="F91" s="2"/>
      <c r="G91" s="2"/>
      <c r="H91" s="2"/>
      <c r="I91" s="2"/>
      <c r="J91" s="2"/>
      <c r="K91" s="2"/>
      <c r="L91" s="2"/>
      <c r="M91" s="2"/>
      <c r="N91" s="2"/>
    </row>
    <row r="92" spans="2:20">
      <c r="F92" s="2"/>
      <c r="G92" s="2"/>
      <c r="H92" s="2"/>
      <c r="I92" s="2"/>
      <c r="J92" s="2"/>
      <c r="K92" s="2"/>
      <c r="L92" s="2"/>
      <c r="M92" s="2"/>
      <c r="N92" s="2"/>
    </row>
    <row r="100" spans="6:14">
      <c r="F100" s="2"/>
      <c r="G100" s="2"/>
      <c r="H100" s="2"/>
      <c r="I100" s="2"/>
      <c r="J100" s="2"/>
      <c r="K100" s="2"/>
      <c r="L100" s="2"/>
      <c r="M100" s="2"/>
      <c r="N100" s="2"/>
    </row>
    <row r="101" spans="6:14">
      <c r="M101" s="2"/>
      <c r="N101" s="2"/>
    </row>
    <row r="102" spans="6:14">
      <c r="M102" s="2"/>
      <c r="N102" s="2"/>
    </row>
    <row r="103" spans="6:14">
      <c r="M103" s="2"/>
      <c r="N103" s="2"/>
    </row>
    <row r="104" spans="6:14">
      <c r="M104" s="2"/>
      <c r="N104" s="2"/>
    </row>
    <row r="105" spans="6:14">
      <c r="M105" s="2"/>
      <c r="N105" s="2"/>
    </row>
    <row r="106" spans="6:14">
      <c r="M106" s="2"/>
      <c r="N106" s="2"/>
    </row>
    <row r="107" spans="6:14">
      <c r="M107" s="2"/>
      <c r="N107" s="2"/>
    </row>
    <row r="108" spans="6:14">
      <c r="M108" s="2"/>
      <c r="N108" s="2"/>
    </row>
    <row r="114" s="344" customFormat="1"/>
    <row r="115" s="344" customFormat="1"/>
    <row r="116" s="344" customFormat="1"/>
    <row r="117" s="344" customFormat="1"/>
    <row r="118" s="344" customFormat="1"/>
    <row r="119" s="344" customFormat="1"/>
    <row r="120" s="344" customFormat="1"/>
    <row r="121" s="344" customFormat="1"/>
    <row r="122" s="344" customFormat="1"/>
    <row r="123" s="344" customFormat="1"/>
    <row r="124" s="344" customFormat="1"/>
    <row r="125" s="344" customFormat="1"/>
    <row r="126" s="344" customFormat="1"/>
    <row r="127" s="344" customFormat="1"/>
    <row r="128" s="344" customFormat="1"/>
    <row r="129" s="344" customFormat="1"/>
    <row r="130" s="344" customFormat="1"/>
    <row r="131" s="344" customFormat="1"/>
    <row r="132" s="344" customFormat="1"/>
    <row r="133" s="344" customFormat="1"/>
    <row r="134" s="344" customFormat="1"/>
    <row r="135" s="344" customFormat="1"/>
    <row r="136" s="344" customFormat="1"/>
    <row r="137" s="344" customFormat="1"/>
    <row r="138" s="344" customFormat="1"/>
    <row r="139" s="344" customFormat="1"/>
    <row r="140" s="344" customFormat="1"/>
    <row r="141" s="344" customFormat="1"/>
    <row r="142" s="344" customFormat="1"/>
    <row r="143" s="344" customFormat="1"/>
    <row r="145" spans="2:46" ht="21" thickBot="1">
      <c r="H145" s="329"/>
      <c r="AF145"/>
      <c r="AI145" s="329"/>
      <c r="AJ145" s="2"/>
      <c r="AK145" s="2"/>
      <c r="AL145" s="2"/>
      <c r="AM145" s="2"/>
      <c r="AN145" s="2"/>
      <c r="AO145" s="2"/>
      <c r="AP145" s="2"/>
    </row>
    <row r="146" spans="2:46" ht="13.5" thickBot="1">
      <c r="H146" s="402" t="s">
        <v>260</v>
      </c>
      <c r="I146" s="401" t="s">
        <v>104</v>
      </c>
      <c r="J146" s="401" t="s">
        <v>105</v>
      </c>
      <c r="K146" s="401" t="s">
        <v>106</v>
      </c>
      <c r="L146" s="401" t="s">
        <v>108</v>
      </c>
      <c r="M146" s="401" t="s">
        <v>234</v>
      </c>
      <c r="N146" s="401" t="s">
        <v>235</v>
      </c>
      <c r="O146" s="15" t="s">
        <v>283</v>
      </c>
      <c r="P146" s="15" t="s">
        <v>285</v>
      </c>
      <c r="Q146" s="15" t="s">
        <v>284</v>
      </c>
      <c r="R146" s="15" t="s">
        <v>286</v>
      </c>
      <c r="AF146"/>
      <c r="AH146" s="466" t="s">
        <v>320</v>
      </c>
      <c r="AI146" s="466" t="s">
        <v>321</v>
      </c>
      <c r="AJ146" s="402" t="s">
        <v>260</v>
      </c>
      <c r="AK146" s="401" t="s">
        <v>104</v>
      </c>
      <c r="AL146" s="401" t="s">
        <v>105</v>
      </c>
      <c r="AM146" s="401" t="s">
        <v>106</v>
      </c>
      <c r="AN146" s="401" t="s">
        <v>108</v>
      </c>
      <c r="AO146" s="401" t="s">
        <v>234</v>
      </c>
      <c r="AP146" s="401" t="s">
        <v>235</v>
      </c>
      <c r="AQ146" s="15" t="s">
        <v>283</v>
      </c>
      <c r="AR146" s="15" t="s">
        <v>285</v>
      </c>
      <c r="AS146" s="15" t="s">
        <v>284</v>
      </c>
      <c r="AT146" s="15" t="s">
        <v>286</v>
      </c>
    </row>
    <row r="147" spans="2:46">
      <c r="H147" s="369">
        <v>0</v>
      </c>
      <c r="I147" s="105">
        <v>-5.1034119692792285E-12</v>
      </c>
      <c r="J147" s="106">
        <v>5.1034119692792285E-12</v>
      </c>
      <c r="K147" s="106">
        <v>-1</v>
      </c>
      <c r="L147" s="371">
        <v>1</v>
      </c>
      <c r="M147" s="107">
        <v>0</v>
      </c>
      <c r="N147" s="163">
        <v>1</v>
      </c>
      <c r="O147" s="114">
        <v>0</v>
      </c>
      <c r="P147" s="114">
        <v>5.1034119692781727E-12</v>
      </c>
      <c r="Q147" s="114">
        <v>1.0206823938558457E-11</v>
      </c>
      <c r="R147" s="115">
        <v>0</v>
      </c>
      <c r="AF147"/>
      <c r="AH147" s="467">
        <f>AVERAGE($AI$147:$AI$218)</f>
        <v>3.2799464164911605</v>
      </c>
      <c r="AI147" s="467">
        <f>SUM(AO147:AZ147)</f>
        <v>4.1943000000642154</v>
      </c>
      <c r="AJ147" s="369">
        <v>0</v>
      </c>
      <c r="AK147" s="369">
        <v>-5.1034119692792285E-12</v>
      </c>
      <c r="AL147" s="65">
        <v>5.1034119692792285E-12</v>
      </c>
      <c r="AM147" s="65">
        <v>-1</v>
      </c>
      <c r="AN147" s="369">
        <v>1</v>
      </c>
      <c r="AO147" s="369">
        <v>0</v>
      </c>
      <c r="AP147" s="65">
        <v>4.1943000000000001</v>
      </c>
      <c r="AQ147" s="65">
        <v>0</v>
      </c>
      <c r="AR147" s="65">
        <v>2.140524082274344E-11</v>
      </c>
      <c r="AS147" s="65">
        <v>4.2810481645495734E-11</v>
      </c>
      <c r="AT147" s="17">
        <v>0</v>
      </c>
    </row>
    <row r="148" spans="2:46">
      <c r="B148" s="79"/>
      <c r="C148" s="79"/>
      <c r="D148" s="79"/>
      <c r="H148" s="370">
        <v>5.0000001372571337</v>
      </c>
      <c r="I148" s="25">
        <v>-8.7155718416811148E-2</v>
      </c>
      <c r="J148" s="26">
        <v>5.0839919449040253E-12</v>
      </c>
      <c r="K148" s="26">
        <v>-0.99619470022041856</v>
      </c>
      <c r="L148" s="372">
        <v>1</v>
      </c>
      <c r="M148" s="76">
        <v>0</v>
      </c>
      <c r="N148" s="164">
        <v>0.99619470022041856</v>
      </c>
      <c r="O148" s="78">
        <v>0</v>
      </c>
      <c r="P148" s="78">
        <v>5.0749790364845539E-12</v>
      </c>
      <c r="Q148" s="78">
        <v>8.7155718421895137E-2</v>
      </c>
      <c r="R148" s="116">
        <v>0</v>
      </c>
      <c r="AF148"/>
      <c r="AH148" s="467">
        <f t="shared" ref="AH148:AH211" si="8">AVERAGE($AI$147:$AI$218)</f>
        <v>3.2799464164911605</v>
      </c>
      <c r="AI148" s="467">
        <f>SUM(AO148:AZ148)</f>
        <v>4.5438966609327425</v>
      </c>
      <c r="AJ148" s="370">
        <v>5.0000001372571337</v>
      </c>
      <c r="AK148" s="370">
        <v>-8.7155718416811148E-2</v>
      </c>
      <c r="AL148" s="57">
        <v>5.0839919449040253E-12</v>
      </c>
      <c r="AM148" s="57">
        <v>-0.99619470022041856</v>
      </c>
      <c r="AN148" s="370">
        <v>1</v>
      </c>
      <c r="AO148" s="370">
        <v>0</v>
      </c>
      <c r="AP148" s="57">
        <v>4.1783394311345017</v>
      </c>
      <c r="AQ148" s="57">
        <v>0</v>
      </c>
      <c r="AR148" s="57">
        <v>2.1285984572727164E-11</v>
      </c>
      <c r="AS148" s="57">
        <v>0.36555722977695476</v>
      </c>
      <c r="AT148" s="18">
        <v>0</v>
      </c>
    </row>
    <row r="149" spans="2:46">
      <c r="B149" s="79"/>
      <c r="C149" s="79"/>
      <c r="D149" s="79"/>
      <c r="H149" s="370">
        <v>10.000000274514267</v>
      </c>
      <c r="I149" s="25">
        <v>-0.1736481295564351</v>
      </c>
      <c r="J149" s="26">
        <v>5.0258796699027085E-12</v>
      </c>
      <c r="K149" s="26">
        <v>-0.98480776149538518</v>
      </c>
      <c r="L149" s="372">
        <v>1</v>
      </c>
      <c r="M149" s="76">
        <v>0</v>
      </c>
      <c r="N149" s="164">
        <v>0.98480776149538518</v>
      </c>
      <c r="O149" s="78">
        <v>0</v>
      </c>
      <c r="P149" s="78">
        <v>5.0079224467016562E-12</v>
      </c>
      <c r="Q149" s="78">
        <v>0.17364812956146097</v>
      </c>
      <c r="R149" s="116">
        <v>0</v>
      </c>
      <c r="AF149"/>
      <c r="AH149" s="467">
        <f t="shared" si="8"/>
        <v>3.2799464164911605</v>
      </c>
      <c r="AI149" s="467">
        <f t="shared" ref="AI149:AI211" si="9">SUM(AO149:AZ149)</f>
        <v>4.8589115438807342</v>
      </c>
      <c r="AJ149" s="370">
        <v>10.000000274514267</v>
      </c>
      <c r="AK149" s="370">
        <v>-0.1736481295564351</v>
      </c>
      <c r="AL149" s="57">
        <v>5.0258796699027085E-12</v>
      </c>
      <c r="AM149" s="57">
        <v>-0.98480776149538518</v>
      </c>
      <c r="AN149" s="370">
        <v>1</v>
      </c>
      <c r="AO149" s="370">
        <v>0</v>
      </c>
      <c r="AP149" s="57">
        <v>4.1305791940400942</v>
      </c>
      <c r="AQ149" s="57">
        <v>0</v>
      </c>
      <c r="AR149" s="57">
        <v>2.1004729118200757E-11</v>
      </c>
      <c r="AS149" s="57">
        <v>0.72833234981963579</v>
      </c>
      <c r="AT149" s="18">
        <v>0</v>
      </c>
    </row>
    <row r="150" spans="2:46">
      <c r="B150" s="79"/>
      <c r="C150" s="79"/>
      <c r="D150" s="79"/>
      <c r="H150" s="370">
        <v>15.000000411771399</v>
      </c>
      <c r="I150" s="25">
        <v>-0.25881897431796191</v>
      </c>
      <c r="J150" s="26">
        <v>4.9295174138015015E-12</v>
      </c>
      <c r="K150" s="26">
        <v>-0.96592584525573089</v>
      </c>
      <c r="L150" s="372">
        <v>1</v>
      </c>
      <c r="M150" s="76">
        <v>0</v>
      </c>
      <c r="N150" s="164">
        <v>0.96592584525573089</v>
      </c>
      <c r="O150" s="78">
        <v>0</v>
      </c>
      <c r="P150" s="78">
        <v>4.9027525410538314E-12</v>
      </c>
      <c r="Q150" s="78">
        <v>0.25881897432289142</v>
      </c>
      <c r="R150" s="116">
        <v>0</v>
      </c>
      <c r="AF150"/>
      <c r="AH150" s="467">
        <f t="shared" si="8"/>
        <v>3.2799464164911605</v>
      </c>
      <c r="AI150" s="467">
        <f t="shared" si="9"/>
        <v>5.1369471967791789</v>
      </c>
      <c r="AJ150" s="370">
        <v>15.000000411771399</v>
      </c>
      <c r="AK150" s="370">
        <v>-0.25881897431796191</v>
      </c>
      <c r="AL150" s="57">
        <v>4.9295174138015015E-12</v>
      </c>
      <c r="AM150" s="57">
        <v>-0.96592584525573089</v>
      </c>
      <c r="AN150" s="370">
        <v>1</v>
      </c>
      <c r="AO150" s="370">
        <v>0</v>
      </c>
      <c r="AP150" s="57">
        <v>4.0513827727561118</v>
      </c>
      <c r="AQ150" s="57">
        <v>0</v>
      </c>
      <c r="AR150" s="57">
        <v>2.0563614982942086E-11</v>
      </c>
      <c r="AS150" s="57">
        <v>1.0855644240025035</v>
      </c>
      <c r="AT150" s="18">
        <v>0</v>
      </c>
    </row>
    <row r="151" spans="2:46">
      <c r="B151" s="79"/>
      <c r="C151" s="79"/>
      <c r="D151" s="79"/>
      <c r="H151" s="370">
        <v>20.000000549028535</v>
      </c>
      <c r="I151" s="25">
        <v>-0.34202005150787135</v>
      </c>
      <c r="J151" s="26">
        <v>4.7956385515947751E-12</v>
      </c>
      <c r="K151" s="26">
        <v>-0.93969265420484849</v>
      </c>
      <c r="L151" s="372">
        <v>1</v>
      </c>
      <c r="M151" s="76">
        <v>0</v>
      </c>
      <c r="N151" s="164">
        <v>0.93969265420484849</v>
      </c>
      <c r="O151" s="78">
        <v>0</v>
      </c>
      <c r="P151" s="78">
        <v>4.7602697260291966E-12</v>
      </c>
      <c r="Q151" s="78">
        <v>0.34202005151266701</v>
      </c>
      <c r="R151" s="116">
        <v>0</v>
      </c>
      <c r="AF151"/>
      <c r="AH151" s="467">
        <f t="shared" si="8"/>
        <v>3.2799464164911605</v>
      </c>
      <c r="AI151" s="467">
        <f t="shared" si="9"/>
        <v>5.3758876016109411</v>
      </c>
      <c r="AJ151" s="370">
        <v>20.000000549028535</v>
      </c>
      <c r="AK151" s="370">
        <v>-0.34202005150787135</v>
      </c>
      <c r="AL151" s="57">
        <v>4.7956385515947751E-12</v>
      </c>
      <c r="AM151" s="57">
        <v>-0.93969265420484849</v>
      </c>
      <c r="AN151" s="370">
        <v>1</v>
      </c>
      <c r="AO151" s="370">
        <v>0</v>
      </c>
      <c r="AP151" s="57">
        <v>3.9413528995313962</v>
      </c>
      <c r="AQ151" s="57">
        <v>0</v>
      </c>
      <c r="AR151" s="57">
        <v>1.996599931188426E-11</v>
      </c>
      <c r="AS151" s="57">
        <v>1.4345347020595793</v>
      </c>
      <c r="AT151" s="18">
        <v>0</v>
      </c>
    </row>
    <row r="152" spans="2:46">
      <c r="B152" s="79"/>
      <c r="C152" s="79"/>
      <c r="D152" s="79"/>
      <c r="H152" s="370">
        <v>25.000000686285667</v>
      </c>
      <c r="I152" s="25">
        <v>-0.42261815104485445</v>
      </c>
      <c r="J152" s="26">
        <v>4.6252619823182038E-12</v>
      </c>
      <c r="K152" s="26">
        <v>-0.90630783865496201</v>
      </c>
      <c r="L152" s="372">
        <v>1</v>
      </c>
      <c r="M152" s="76">
        <v>0</v>
      </c>
      <c r="N152" s="164">
        <v>0.90630783865496201</v>
      </c>
      <c r="O152" s="78">
        <v>0</v>
      </c>
      <c r="P152" s="78">
        <v>4.5815583819029434E-12</v>
      </c>
      <c r="Q152" s="78">
        <v>0.4226181510494797</v>
      </c>
      <c r="R152" s="116">
        <v>0</v>
      </c>
      <c r="AF152"/>
      <c r="AH152" s="467">
        <f t="shared" si="8"/>
        <v>3.2799464164911605</v>
      </c>
      <c r="AI152" s="467">
        <f t="shared" si="9"/>
        <v>5.5739142786365568</v>
      </c>
      <c r="AJ152" s="370">
        <v>25.000000686285667</v>
      </c>
      <c r="AK152" s="370">
        <v>-0.42261815104485445</v>
      </c>
      <c r="AL152" s="57">
        <v>4.6252619823182038E-12</v>
      </c>
      <c r="AM152" s="57">
        <v>-0.90630783865496201</v>
      </c>
      <c r="AN152" s="370">
        <v>1</v>
      </c>
      <c r="AO152" s="370">
        <v>0</v>
      </c>
      <c r="AP152" s="57">
        <v>3.8013269676705073</v>
      </c>
      <c r="AQ152" s="57">
        <v>0</v>
      </c>
      <c r="AR152" s="57">
        <v>1.9216430321215516E-11</v>
      </c>
      <c r="AS152" s="57">
        <v>1.7725873109468326</v>
      </c>
      <c r="AT152" s="18">
        <v>0</v>
      </c>
    </row>
    <row r="153" spans="2:46">
      <c r="B153" s="79"/>
      <c r="C153" s="79"/>
      <c r="D153" s="79"/>
      <c r="H153" s="370">
        <v>30.000000823542798</v>
      </c>
      <c r="I153" s="25">
        <v>-0.49999987306817756</v>
      </c>
      <c r="J153" s="26">
        <v>4.4196843746114502E-12</v>
      </c>
      <c r="K153" s="26">
        <v>-0.86602547706854804</v>
      </c>
      <c r="L153" s="372">
        <v>1</v>
      </c>
      <c r="M153" s="76">
        <v>0</v>
      </c>
      <c r="N153" s="164">
        <v>0.86602547706854804</v>
      </c>
      <c r="O153" s="78">
        <v>0</v>
      </c>
      <c r="P153" s="78">
        <v>4.3679786099485236E-12</v>
      </c>
      <c r="Q153" s="78">
        <v>0.49999987307259725</v>
      </c>
      <c r="R153" s="116">
        <v>0</v>
      </c>
      <c r="AF153"/>
      <c r="AH153" s="467">
        <f t="shared" si="8"/>
        <v>3.2799464164911605</v>
      </c>
      <c r="AI153" s="467">
        <f t="shared" si="9"/>
        <v>5.7295201261153261</v>
      </c>
      <c r="AJ153" s="370">
        <v>30.000000823542798</v>
      </c>
      <c r="AK153" s="370">
        <v>-0.49999987306817756</v>
      </c>
      <c r="AL153" s="57">
        <v>4.4196843746114502E-12</v>
      </c>
      <c r="AM153" s="57">
        <v>-0.86602547706854804</v>
      </c>
      <c r="AN153" s="370">
        <v>1</v>
      </c>
      <c r="AO153" s="370">
        <v>0</v>
      </c>
      <c r="AP153" s="57">
        <v>3.6323706584686111</v>
      </c>
      <c r="AQ153" s="57">
        <v>0</v>
      </c>
      <c r="AR153" s="57">
        <v>1.8320612683707094E-11</v>
      </c>
      <c r="AS153" s="57">
        <v>2.0971494676283946</v>
      </c>
      <c r="AT153" s="18">
        <v>0</v>
      </c>
    </row>
    <row r="154" spans="2:46">
      <c r="B154" s="79"/>
      <c r="C154" s="79"/>
      <c r="D154" s="79"/>
      <c r="H154" s="370">
        <v>35.00000096079993</v>
      </c>
      <c r="I154" s="25">
        <v>-0.57357629627839091</v>
      </c>
      <c r="J154" s="26">
        <v>4.1804702982863326E-12</v>
      </c>
      <c r="K154" s="26">
        <v>-0.81915214236890299</v>
      </c>
      <c r="L154" s="372">
        <v>1</v>
      </c>
      <c r="M154" s="76">
        <v>0</v>
      </c>
      <c r="N154" s="164">
        <v>0.81915214236890299</v>
      </c>
      <c r="O154" s="78">
        <v>0</v>
      </c>
      <c r="P154" s="78">
        <v>4.1211558812454433E-12</v>
      </c>
      <c r="Q154" s="78">
        <v>0.57357629628257134</v>
      </c>
      <c r="R154" s="116">
        <v>0</v>
      </c>
      <c r="AF154"/>
      <c r="AH154" s="467">
        <f t="shared" si="8"/>
        <v>3.2799464164911605</v>
      </c>
      <c r="AI154" s="467">
        <f t="shared" si="9"/>
        <v>5.8415208902531646</v>
      </c>
      <c r="AJ154" s="370">
        <v>35.00000096079993</v>
      </c>
      <c r="AK154" s="370">
        <v>-0.57357629627839091</v>
      </c>
      <c r="AL154" s="57">
        <v>4.1804702982863326E-12</v>
      </c>
      <c r="AM154" s="57">
        <v>-0.81915214236890299</v>
      </c>
      <c r="AN154" s="370">
        <v>1</v>
      </c>
      <c r="AO154" s="370">
        <v>0</v>
      </c>
      <c r="AP154" s="57">
        <v>3.4357698307378897</v>
      </c>
      <c r="AQ154" s="57">
        <v>0</v>
      </c>
      <c r="AR154" s="57">
        <v>1.7285364112707764E-11</v>
      </c>
      <c r="AS154" s="57">
        <v>2.4057510594979892</v>
      </c>
      <c r="AT154" s="18">
        <v>0</v>
      </c>
    </row>
    <row r="155" spans="2:46">
      <c r="B155" s="79"/>
      <c r="C155" s="79"/>
      <c r="D155" s="79"/>
      <c r="H155" s="370">
        <v>40.000001098057069</v>
      </c>
      <c r="I155" s="25">
        <v>-0.64278745998151199</v>
      </c>
      <c r="J155" s="26">
        <v>3.9094403170051792E-12</v>
      </c>
      <c r="K155" s="26">
        <v>-0.76604456873638649</v>
      </c>
      <c r="L155" s="372">
        <v>1</v>
      </c>
      <c r="M155" s="76">
        <v>0</v>
      </c>
      <c r="N155" s="164">
        <v>0.76604456873638649</v>
      </c>
      <c r="O155" s="78">
        <v>0</v>
      </c>
      <c r="P155" s="78">
        <v>3.8429686658624583E-12</v>
      </c>
      <c r="Q155" s="78">
        <v>0.64278745998542142</v>
      </c>
      <c r="R155" s="116">
        <v>0</v>
      </c>
      <c r="AF155"/>
      <c r="AH155" s="467">
        <f t="shared" si="8"/>
        <v>3.2799464164911605</v>
      </c>
      <c r="AI155" s="467">
        <f t="shared" si="9"/>
        <v>5.9090641780839981</v>
      </c>
      <c r="AJ155" s="370">
        <v>40.000001098057069</v>
      </c>
      <c r="AK155" s="370">
        <v>-0.64278745998151199</v>
      </c>
      <c r="AL155" s="57">
        <v>3.9094403170051792E-12</v>
      </c>
      <c r="AM155" s="57">
        <v>-0.76604456873638649</v>
      </c>
      <c r="AN155" s="370">
        <v>1</v>
      </c>
      <c r="AO155" s="370">
        <v>0</v>
      </c>
      <c r="AP155" s="57">
        <v>3.213020734651026</v>
      </c>
      <c r="AQ155" s="57">
        <v>0</v>
      </c>
      <c r="AR155" s="57">
        <v>1.611856347522691E-11</v>
      </c>
      <c r="AS155" s="57">
        <v>2.696043443416853</v>
      </c>
      <c r="AT155" s="18">
        <v>0</v>
      </c>
    </row>
    <row r="156" spans="2:46">
      <c r="H156" s="370">
        <v>45.000001235314201</v>
      </c>
      <c r="I156" s="25">
        <v>-0.70710662572563376</v>
      </c>
      <c r="J156" s="26">
        <v>3.6086571326913136E-12</v>
      </c>
      <c r="K156" s="26">
        <v>-0.70710693664742696</v>
      </c>
      <c r="L156" s="372">
        <v>1</v>
      </c>
      <c r="M156" s="76">
        <v>0</v>
      </c>
      <c r="N156" s="164">
        <v>0.70710693664742696</v>
      </c>
      <c r="O156" s="78">
        <v>0</v>
      </c>
      <c r="P156" s="78">
        <v>3.5355341365655851E-12</v>
      </c>
      <c r="Q156" s="78">
        <v>0.70710662572924243</v>
      </c>
      <c r="R156" s="116">
        <v>0</v>
      </c>
      <c r="AF156"/>
      <c r="AH156" s="467">
        <f t="shared" si="8"/>
        <v>3.2799464164911605</v>
      </c>
      <c r="AI156" s="467">
        <f t="shared" si="9"/>
        <v>5.9316359446912941</v>
      </c>
      <c r="AJ156" s="370">
        <v>45.000001235314201</v>
      </c>
      <c r="AK156" s="370">
        <v>-0.70710662572563376</v>
      </c>
      <c r="AL156" s="57">
        <v>3.6086571326913136E-12</v>
      </c>
      <c r="AM156" s="57">
        <v>-0.70710693664742696</v>
      </c>
      <c r="AN156" s="370">
        <v>1</v>
      </c>
      <c r="AO156" s="370">
        <v>0</v>
      </c>
      <c r="AP156" s="57">
        <v>2.9658186243803031</v>
      </c>
      <c r="AQ156" s="57">
        <v>0</v>
      </c>
      <c r="AR156" s="57">
        <v>1.4829090828997034E-11</v>
      </c>
      <c r="AS156" s="57">
        <v>2.9658173202961615</v>
      </c>
      <c r="AT156" s="18">
        <v>0</v>
      </c>
    </row>
    <row r="157" spans="2:46">
      <c r="H157" s="370">
        <v>50.000001372571333</v>
      </c>
      <c r="I157" s="25">
        <v>-0.76604428609635611</v>
      </c>
      <c r="J157" s="26">
        <v>3.2804098871210641E-12</v>
      </c>
      <c r="K157" s="26">
        <v>-0.64278779681876663</v>
      </c>
      <c r="L157" s="372">
        <v>1</v>
      </c>
      <c r="M157" s="76">
        <v>0</v>
      </c>
      <c r="N157" s="164">
        <v>0.64278779681876663</v>
      </c>
      <c r="O157" s="78">
        <v>0</v>
      </c>
      <c r="P157" s="78">
        <v>3.2011920558543421E-12</v>
      </c>
      <c r="Q157" s="78">
        <v>0.76604428609963648</v>
      </c>
      <c r="R157" s="116">
        <v>0</v>
      </c>
      <c r="AF157"/>
      <c r="AH157" s="467">
        <f t="shared" si="8"/>
        <v>3.2799464164911605</v>
      </c>
      <c r="AI157" s="467">
        <f t="shared" si="9"/>
        <v>5.9090644053980848</v>
      </c>
      <c r="AJ157" s="370">
        <v>50.000001372571333</v>
      </c>
      <c r="AK157" s="370">
        <v>-0.76604428609635611</v>
      </c>
      <c r="AL157" s="57">
        <v>3.2804098871210641E-12</v>
      </c>
      <c r="AM157" s="57">
        <v>-0.64278779681876663</v>
      </c>
      <c r="AN157" s="370">
        <v>1</v>
      </c>
      <c r="AO157" s="370">
        <v>0</v>
      </c>
      <c r="AP157" s="57">
        <v>2.696044856196953</v>
      </c>
      <c r="AQ157" s="57">
        <v>0</v>
      </c>
      <c r="AR157" s="57">
        <v>1.3426759839869868E-11</v>
      </c>
      <c r="AS157" s="57">
        <v>3.2130195491877052</v>
      </c>
      <c r="AT157" s="18">
        <v>0</v>
      </c>
    </row>
    <row r="158" spans="2:46">
      <c r="H158" s="370">
        <v>55.000001509828465</v>
      </c>
      <c r="I158" s="25">
        <v>-0.81915189016169587</v>
      </c>
      <c r="J158" s="26">
        <v>2.9271967401716621E-12</v>
      </c>
      <c r="K158" s="26">
        <v>-0.5735766564675735</v>
      </c>
      <c r="L158" s="372">
        <v>1</v>
      </c>
      <c r="M158" s="76">
        <v>0</v>
      </c>
      <c r="N158" s="164">
        <v>0.5735766564675735</v>
      </c>
      <c r="O158" s="78">
        <v>0</v>
      </c>
      <c r="P158" s="78">
        <v>2.8424869689555928E-12</v>
      </c>
      <c r="Q158" s="78">
        <v>0.81915189016462309</v>
      </c>
      <c r="R158" s="116">
        <v>0</v>
      </c>
      <c r="AF158"/>
      <c r="AH158" s="467">
        <f t="shared" si="8"/>
        <v>3.2799464164911605</v>
      </c>
      <c r="AI158" s="467">
        <f t="shared" si="9"/>
        <v>5.8415213431513449</v>
      </c>
      <c r="AJ158" s="370">
        <v>55.000001509828465</v>
      </c>
      <c r="AK158" s="370">
        <v>-0.81915189016169587</v>
      </c>
      <c r="AL158" s="57">
        <v>2.9271967401716621E-12</v>
      </c>
      <c r="AM158" s="57">
        <v>-0.5735766564675735</v>
      </c>
      <c r="AN158" s="370">
        <v>1</v>
      </c>
      <c r="AO158" s="370">
        <v>0</v>
      </c>
      <c r="AP158" s="57">
        <v>2.4057525702219436</v>
      </c>
      <c r="AQ158" s="57">
        <v>0</v>
      </c>
      <c r="AR158" s="57">
        <v>1.1922243093890442E-11</v>
      </c>
      <c r="AS158" s="57">
        <v>3.4357687729174788</v>
      </c>
      <c r="AT158" s="18">
        <v>0</v>
      </c>
    </row>
    <row r="159" spans="2:46">
      <c r="H159" s="370">
        <v>60.000001647085597</v>
      </c>
      <c r="I159" s="25">
        <v>-0.86602525721361201</v>
      </c>
      <c r="J159" s="26">
        <v>2.551705857315109E-12</v>
      </c>
      <c r="K159" s="26">
        <v>-0.50000025386803271</v>
      </c>
      <c r="L159" s="372">
        <v>1</v>
      </c>
      <c r="M159" s="76">
        <v>0</v>
      </c>
      <c r="N159" s="164">
        <v>0.50000025386803271</v>
      </c>
      <c r="O159" s="78">
        <v>0</v>
      </c>
      <c r="P159" s="78">
        <v>2.4621488382970904E-12</v>
      </c>
      <c r="Q159" s="78">
        <v>0.86602525721616375</v>
      </c>
      <c r="R159" s="116">
        <v>0</v>
      </c>
      <c r="AF159"/>
      <c r="AH159" s="467">
        <f t="shared" si="8"/>
        <v>3.2799464164911605</v>
      </c>
      <c r="AI159" s="467">
        <f t="shared" si="9"/>
        <v>5.7295208011507723</v>
      </c>
      <c r="AJ159" s="370">
        <v>60.000001647085597</v>
      </c>
      <c r="AK159" s="370">
        <v>-0.86602525721361201</v>
      </c>
      <c r="AL159" s="57">
        <v>2.551705857315109E-12</v>
      </c>
      <c r="AM159" s="57">
        <v>-0.50000025386803271</v>
      </c>
      <c r="AN159" s="370">
        <v>1</v>
      </c>
      <c r="AO159" s="370">
        <v>0</v>
      </c>
      <c r="AP159" s="57">
        <v>2.0971510647986897</v>
      </c>
      <c r="AQ159" s="57">
        <v>0</v>
      </c>
      <c r="AR159" s="57">
        <v>1.0326990872469487E-11</v>
      </c>
      <c r="AS159" s="57">
        <v>3.6323697363417558</v>
      </c>
      <c r="AT159" s="18">
        <v>0</v>
      </c>
    </row>
    <row r="160" spans="2:46">
      <c r="H160" s="370">
        <v>65.000001784342729</v>
      </c>
      <c r="I160" s="25">
        <v>-0.90630765282552461</v>
      </c>
      <c r="J160" s="26">
        <v>2.1567949510546389E-12</v>
      </c>
      <c r="K160" s="26">
        <v>-0.42261854955726719</v>
      </c>
      <c r="L160" s="372">
        <v>1</v>
      </c>
      <c r="M160" s="76">
        <v>0</v>
      </c>
      <c r="N160" s="164">
        <v>0.42261854955726719</v>
      </c>
      <c r="O160" s="78">
        <v>0</v>
      </c>
      <c r="P160" s="78">
        <v>2.0630722668440502E-12</v>
      </c>
      <c r="Q160" s="78">
        <v>0.90630765282768144</v>
      </c>
      <c r="R160" s="116">
        <v>0</v>
      </c>
      <c r="AF160"/>
      <c r="AH160" s="467">
        <f t="shared" si="8"/>
        <v>3.2799464164911605</v>
      </c>
      <c r="AI160" s="467">
        <f t="shared" si="9"/>
        <v>5.5739151706718433</v>
      </c>
      <c r="AJ160" s="370">
        <v>65.000001784342729</v>
      </c>
      <c r="AK160" s="370">
        <v>-0.90630765282552461</v>
      </c>
      <c r="AL160" s="57">
        <v>2.1567949510546389E-12</v>
      </c>
      <c r="AM160" s="57">
        <v>-0.42261854955726719</v>
      </c>
      <c r="AN160" s="370">
        <v>1</v>
      </c>
      <c r="AO160" s="370">
        <v>0</v>
      </c>
      <c r="AP160" s="57">
        <v>1.7725889824080459</v>
      </c>
      <c r="AQ160" s="57">
        <v>0</v>
      </c>
      <c r="AR160" s="57">
        <v>8.6531440088240004E-12</v>
      </c>
      <c r="AS160" s="57">
        <v>3.8013261882551443</v>
      </c>
      <c r="AT160" s="18">
        <v>0</v>
      </c>
    </row>
    <row r="161" spans="8:46">
      <c r="H161" s="370">
        <v>70.000001921599846</v>
      </c>
      <c r="I161" s="25">
        <v>-0.93969250381518354</v>
      </c>
      <c r="J161" s="26">
        <v>1.7454695320058486E-12</v>
      </c>
      <c r="K161" s="26">
        <v>-0.34202046469992309</v>
      </c>
      <c r="L161" s="372">
        <v>1</v>
      </c>
      <c r="M161" s="76">
        <v>0</v>
      </c>
      <c r="N161" s="164">
        <v>0.34202046469992309</v>
      </c>
      <c r="O161" s="78">
        <v>0</v>
      </c>
      <c r="P161" s="78">
        <v>1.648294468421743E-12</v>
      </c>
      <c r="Q161" s="78">
        <v>0.93969250381692904</v>
      </c>
      <c r="R161" s="116">
        <v>0</v>
      </c>
      <c r="AF161"/>
      <c r="AH161" s="467">
        <f t="shared" si="8"/>
        <v>3.2799464164911605</v>
      </c>
      <c r="AI161" s="467">
        <f t="shared" si="9"/>
        <v>5.3758887038571466</v>
      </c>
      <c r="AJ161" s="370">
        <v>70.000001921599846</v>
      </c>
      <c r="AK161" s="370">
        <v>-0.93969250381518354</v>
      </c>
      <c r="AL161" s="57">
        <v>1.7454695320058486E-12</v>
      </c>
      <c r="AM161" s="57">
        <v>-0.34202046469992309</v>
      </c>
      <c r="AN161" s="370">
        <v>1</v>
      </c>
      <c r="AO161" s="370">
        <v>0</v>
      </c>
      <c r="AP161" s="57">
        <v>1.4345364350908874</v>
      </c>
      <c r="AQ161" s="57">
        <v>0</v>
      </c>
      <c r="AR161" s="57">
        <v>6.9134414889013168E-12</v>
      </c>
      <c r="AS161" s="57">
        <v>3.9413522687593456</v>
      </c>
      <c r="AT161" s="18">
        <v>0</v>
      </c>
    </row>
    <row r="162" spans="8:46">
      <c r="H162" s="370">
        <v>75.000002058856978</v>
      </c>
      <c r="I162" s="25">
        <v>-0.96592573145039384</v>
      </c>
      <c r="J162" s="26">
        <v>1.3208600351448757E-12</v>
      </c>
      <c r="K162" s="26">
        <v>-0.25881939904501328</v>
      </c>
      <c r="L162" s="372">
        <v>1</v>
      </c>
      <c r="M162" s="76">
        <v>0</v>
      </c>
      <c r="N162" s="164">
        <v>0.25881939904501328</v>
      </c>
      <c r="O162" s="78">
        <v>0</v>
      </c>
      <c r="P162" s="78">
        <v>1.2209721526832417E-12</v>
      </c>
      <c r="Q162" s="78">
        <v>0.96592573145171468</v>
      </c>
      <c r="R162" s="116">
        <v>0</v>
      </c>
      <c r="AF162"/>
      <c r="AH162" s="467">
        <f t="shared" si="8"/>
        <v>3.2799464164911605</v>
      </c>
      <c r="AI162" s="467">
        <f t="shared" si="9"/>
        <v>5.1369485008475468</v>
      </c>
      <c r="AJ162" s="370">
        <v>75.000002058856978</v>
      </c>
      <c r="AK162" s="370">
        <v>-0.96592573145039384</v>
      </c>
      <c r="AL162" s="57">
        <v>1.3208600351448757E-12</v>
      </c>
      <c r="AM162" s="57">
        <v>-0.25881939904501328</v>
      </c>
      <c r="AN162" s="370">
        <v>1</v>
      </c>
      <c r="AO162" s="370">
        <v>0</v>
      </c>
      <c r="AP162" s="57">
        <v>1.0855662054144992</v>
      </c>
      <c r="AQ162" s="57">
        <v>0</v>
      </c>
      <c r="AR162" s="57">
        <v>5.1211234999993205E-12</v>
      </c>
      <c r="AS162" s="57">
        <v>4.0513822954279268</v>
      </c>
      <c r="AT162" s="18">
        <v>0</v>
      </c>
    </row>
    <row r="163" spans="8:46">
      <c r="H163" s="370">
        <v>80.00000219611411</v>
      </c>
      <c r="I163" s="25">
        <v>-0.98480768514050265</v>
      </c>
      <c r="J163" s="26">
        <v>8.8619799530671095E-13</v>
      </c>
      <c r="K163" s="26">
        <v>-0.17364856258605887</v>
      </c>
      <c r="L163" s="372">
        <v>1</v>
      </c>
      <c r="M163" s="76">
        <v>0</v>
      </c>
      <c r="N163" s="164">
        <v>0.17364856258605887</v>
      </c>
      <c r="O163" s="78">
        <v>0</v>
      </c>
      <c r="P163" s="78">
        <v>7.8435750064168766E-13</v>
      </c>
      <c r="Q163" s="78">
        <v>0.98480768514138883</v>
      </c>
      <c r="R163" s="116">
        <v>0</v>
      </c>
      <c r="AF163"/>
      <c r="AH163" s="467">
        <f t="shared" si="8"/>
        <v>3.2799464164911605</v>
      </c>
      <c r="AI163" s="467">
        <f t="shared" si="9"/>
        <v>4.8589130398465246</v>
      </c>
      <c r="AJ163" s="370">
        <v>80.00000219611411</v>
      </c>
      <c r="AK163" s="370">
        <v>-0.98480768514050265</v>
      </c>
      <c r="AL163" s="57">
        <v>8.8619799530671095E-13</v>
      </c>
      <c r="AM163" s="57">
        <v>-0.17364856258605887</v>
      </c>
      <c r="AN163" s="370">
        <v>1</v>
      </c>
      <c r="AO163" s="370">
        <v>0</v>
      </c>
      <c r="AP163" s="57">
        <v>0.7283341660547068</v>
      </c>
      <c r="AQ163" s="57">
        <v>0</v>
      </c>
      <c r="AR163" s="57">
        <v>3.2898306649414308E-12</v>
      </c>
      <c r="AS163" s="57">
        <v>4.1305788737885276</v>
      </c>
      <c r="AT163" s="18">
        <v>0</v>
      </c>
    </row>
    <row r="164" spans="8:46">
      <c r="H164" s="370">
        <v>85.000002333371228</v>
      </c>
      <c r="I164" s="25">
        <v>-0.99619466189709716</v>
      </c>
      <c r="J164" s="26">
        <v>4.4479145325249991E-13</v>
      </c>
      <c r="K164" s="26">
        <v>-8.7156156453392225E-2</v>
      </c>
      <c r="L164" s="372">
        <v>1</v>
      </c>
      <c r="M164" s="76">
        <v>0</v>
      </c>
      <c r="N164" s="164">
        <v>8.7156156453392225E-2</v>
      </c>
      <c r="O164" s="78">
        <v>0</v>
      </c>
      <c r="P164" s="78">
        <v>3.4177341360779948E-13</v>
      </c>
      <c r="Q164" s="78">
        <v>0.99619466189754191</v>
      </c>
      <c r="R164" s="116">
        <v>0</v>
      </c>
      <c r="AF164"/>
      <c r="AH164" s="467">
        <f t="shared" si="8"/>
        <v>3.2799464164911605</v>
      </c>
      <c r="AI164" s="467">
        <f t="shared" si="9"/>
        <v>4.5438983374107567</v>
      </c>
      <c r="AJ164" s="370">
        <v>85.000002333371228</v>
      </c>
      <c r="AK164" s="370">
        <v>-0.99619466189709716</v>
      </c>
      <c r="AL164" s="57">
        <v>4.4479145325249991E-13</v>
      </c>
      <c r="AM164" s="57">
        <v>-8.7156156453392225E-2</v>
      </c>
      <c r="AN164" s="370">
        <v>1</v>
      </c>
      <c r="AO164" s="370">
        <v>0</v>
      </c>
      <c r="AP164" s="57">
        <v>0.36555906701246299</v>
      </c>
      <c r="AQ164" s="57">
        <v>0</v>
      </c>
      <c r="AR164" s="57">
        <v>1.4335002286951933E-12</v>
      </c>
      <c r="AS164" s="57">
        <v>4.1783392703968598</v>
      </c>
      <c r="AT164" s="18">
        <v>0</v>
      </c>
    </row>
    <row r="165" spans="8:46">
      <c r="H165" s="370">
        <v>90.00000247062836</v>
      </c>
      <c r="I165" s="25">
        <v>-0.99999999999990341</v>
      </c>
      <c r="J165" s="26">
        <v>-2.2051948454454149E-19</v>
      </c>
      <c r="K165" s="26">
        <v>-4.3971492059610713E-7</v>
      </c>
      <c r="L165" s="372">
        <v>1</v>
      </c>
      <c r="M165" s="76">
        <v>0</v>
      </c>
      <c r="N165" s="164">
        <v>4.3971492059610713E-7</v>
      </c>
      <c r="O165" s="78">
        <v>0</v>
      </c>
      <c r="P165" s="78">
        <v>0</v>
      </c>
      <c r="Q165" s="78">
        <v>0.99999999999990341</v>
      </c>
      <c r="R165" s="116">
        <v>0</v>
      </c>
      <c r="AF165"/>
      <c r="AH165" s="467">
        <f t="shared" si="8"/>
        <v>3.2799464164911605</v>
      </c>
      <c r="AI165" s="467">
        <f t="shared" si="9"/>
        <v>4.1943018442958868</v>
      </c>
      <c r="AJ165" s="370">
        <v>90.00000247062836</v>
      </c>
      <c r="AK165" s="370">
        <v>-0.99999999999990341</v>
      </c>
      <c r="AL165" s="57">
        <v>-2.2051948454454149E-19</v>
      </c>
      <c r="AM165" s="57">
        <v>-4.3971492059610713E-7</v>
      </c>
      <c r="AN165" s="370">
        <v>1</v>
      </c>
      <c r="AO165" s="370">
        <v>0</v>
      </c>
      <c r="AP165" s="57">
        <v>1.8442962914562522E-6</v>
      </c>
      <c r="AQ165" s="57">
        <v>0</v>
      </c>
      <c r="AR165" s="57">
        <v>0</v>
      </c>
      <c r="AS165" s="57">
        <v>4.1942999999995951</v>
      </c>
      <c r="AT165" s="18">
        <v>0</v>
      </c>
    </row>
    <row r="166" spans="8:46">
      <c r="H166" s="370">
        <v>95.000002607885492</v>
      </c>
      <c r="I166" s="25">
        <v>-0.99619473854443685</v>
      </c>
      <c r="J166" s="26">
        <v>-4.4479189261318247E-13</v>
      </c>
      <c r="K166" s="26">
        <v>8.7155280370045218E-2</v>
      </c>
      <c r="L166" s="372">
        <v>1</v>
      </c>
      <c r="M166" s="76">
        <v>8.7155280370045218E-2</v>
      </c>
      <c r="N166" s="164">
        <v>0</v>
      </c>
      <c r="O166" s="78">
        <v>0</v>
      </c>
      <c r="P166" s="78">
        <v>0</v>
      </c>
      <c r="Q166" s="78">
        <v>0.9961947385439921</v>
      </c>
      <c r="R166" s="116">
        <v>3.417738450423534E-13</v>
      </c>
      <c r="AF166"/>
      <c r="AH166" s="467">
        <f t="shared" si="8"/>
        <v>3.2799464164911605</v>
      </c>
      <c r="AI166" s="467">
        <f t="shared" si="9"/>
        <v>4.5438949843325807</v>
      </c>
      <c r="AJ166" s="370">
        <v>95.000002607885492</v>
      </c>
      <c r="AK166" s="370">
        <v>-0.99619473854443685</v>
      </c>
      <c r="AL166" s="57">
        <v>-4.4479189261318247E-13</v>
      </c>
      <c r="AM166" s="57">
        <v>8.7155280370045218E-2</v>
      </c>
      <c r="AN166" s="370">
        <v>1</v>
      </c>
      <c r="AO166" s="370">
        <v>0.36555539245608065</v>
      </c>
      <c r="AP166" s="57">
        <v>0</v>
      </c>
      <c r="AQ166" s="57">
        <v>0</v>
      </c>
      <c r="AR166" s="57">
        <v>0</v>
      </c>
      <c r="AS166" s="57">
        <v>4.1783395918750665</v>
      </c>
      <c r="AT166" s="18">
        <v>1.4335020382611429E-12</v>
      </c>
    </row>
    <row r="167" spans="8:46">
      <c r="H167" s="370">
        <v>100.00000274514261</v>
      </c>
      <c r="I167" s="25">
        <v>-0.98480783785184978</v>
      </c>
      <c r="J167" s="26">
        <v>-8.8619842964530667E-13</v>
      </c>
      <c r="K167" s="26">
        <v>0.17364769651672557</v>
      </c>
      <c r="L167" s="372">
        <v>1</v>
      </c>
      <c r="M167" s="76">
        <v>0.17364769651672557</v>
      </c>
      <c r="N167" s="164">
        <v>0</v>
      </c>
      <c r="O167" s="78">
        <v>0</v>
      </c>
      <c r="P167" s="78">
        <v>0</v>
      </c>
      <c r="Q167" s="78">
        <v>0.9848078378509636</v>
      </c>
      <c r="R167" s="116">
        <v>7.8435791918834879E-13</v>
      </c>
      <c r="AF167"/>
      <c r="AH167" s="467">
        <f t="shared" si="8"/>
        <v>3.2799464164911605</v>
      </c>
      <c r="AI167" s="467">
        <f t="shared" si="9"/>
        <v>4.8589100478016878</v>
      </c>
      <c r="AJ167" s="370">
        <v>100.00000274514261</v>
      </c>
      <c r="AK167" s="370">
        <v>-0.98480783785184978</v>
      </c>
      <c r="AL167" s="57">
        <v>-8.8619842964530667E-13</v>
      </c>
      <c r="AM167" s="57">
        <v>0.17364769651672557</v>
      </c>
      <c r="AN167" s="370">
        <v>1</v>
      </c>
      <c r="AO167" s="370">
        <v>0.72833053350010202</v>
      </c>
      <c r="AP167" s="57">
        <v>0</v>
      </c>
      <c r="AQ167" s="57">
        <v>0</v>
      </c>
      <c r="AR167" s="57">
        <v>0</v>
      </c>
      <c r="AS167" s="57">
        <v>4.1305795142982964</v>
      </c>
      <c r="AT167" s="18">
        <v>3.2898324204516914E-12</v>
      </c>
    </row>
    <row r="168" spans="8:46">
      <c r="H168" s="370">
        <v>105.00000288239974</v>
      </c>
      <c r="I168" s="25">
        <v>-0.96592595906352319</v>
      </c>
      <c r="J168" s="26">
        <v>-1.3208604611558054E-12</v>
      </c>
      <c r="K168" s="26">
        <v>0.25881854958100053</v>
      </c>
      <c r="L168" s="372">
        <v>1</v>
      </c>
      <c r="M168" s="76">
        <v>0.25881854958100053</v>
      </c>
      <c r="N168" s="164">
        <v>0</v>
      </c>
      <c r="O168" s="78">
        <v>0</v>
      </c>
      <c r="P168" s="78">
        <v>0</v>
      </c>
      <c r="Q168" s="78">
        <v>0.96592595906220236</v>
      </c>
      <c r="R168" s="116">
        <v>1.2209725551566167E-12</v>
      </c>
      <c r="AF168"/>
      <c r="AH168" s="467">
        <f t="shared" si="8"/>
        <v>3.2799464164911605</v>
      </c>
      <c r="AI168" s="467">
        <f t="shared" si="9"/>
        <v>5.1369458926073071</v>
      </c>
      <c r="AJ168" s="370">
        <v>105.00000288239974</v>
      </c>
      <c r="AK168" s="370">
        <v>-0.96592595906352319</v>
      </c>
      <c r="AL168" s="57">
        <v>-1.3208604611558054E-12</v>
      </c>
      <c r="AM168" s="57">
        <v>0.25881854958100053</v>
      </c>
      <c r="AN168" s="370">
        <v>1</v>
      </c>
      <c r="AO168" s="370">
        <v>1.0855626425075906</v>
      </c>
      <c r="AP168" s="57">
        <v>0</v>
      </c>
      <c r="AQ168" s="57">
        <v>0</v>
      </c>
      <c r="AR168" s="57">
        <v>0</v>
      </c>
      <c r="AS168" s="57">
        <v>4.0513832500945952</v>
      </c>
      <c r="AT168" s="18">
        <v>5.1211251880933975E-12</v>
      </c>
    </row>
    <row r="169" spans="8:46">
      <c r="H169" s="370">
        <v>110.00000301965687</v>
      </c>
      <c r="I169" s="25">
        <v>-0.93969280459782312</v>
      </c>
      <c r="J169" s="26">
        <v>-1.7454699464469121E-12</v>
      </c>
      <c r="K169" s="26">
        <v>0.34201963830616144</v>
      </c>
      <c r="L169" s="372">
        <v>1</v>
      </c>
      <c r="M169" s="76">
        <v>0.34201963830616144</v>
      </c>
      <c r="N169" s="164">
        <v>0</v>
      </c>
      <c r="O169" s="78">
        <v>0</v>
      </c>
      <c r="P169" s="78">
        <v>0</v>
      </c>
      <c r="Q169" s="78">
        <v>0.93969280459607762</v>
      </c>
      <c r="R169" s="116">
        <v>1.6482948517587669E-12</v>
      </c>
      <c r="AF169"/>
      <c r="AH169" s="467">
        <f t="shared" si="8"/>
        <v>3.2799464164911605</v>
      </c>
      <c r="AI169" s="467">
        <f t="shared" si="9"/>
        <v>5.3758864992717754</v>
      </c>
      <c r="AJ169" s="370">
        <v>110.00000301965687</v>
      </c>
      <c r="AK169" s="370">
        <v>-0.93969280459782312</v>
      </c>
      <c r="AL169" s="57">
        <v>-1.7454699464469121E-12</v>
      </c>
      <c r="AM169" s="57">
        <v>0.34201963830616144</v>
      </c>
      <c r="AN169" s="370">
        <v>1</v>
      </c>
      <c r="AO169" s="370">
        <v>1.434532968947533</v>
      </c>
      <c r="AP169" s="57">
        <v>0</v>
      </c>
      <c r="AQ169" s="57">
        <v>0</v>
      </c>
      <c r="AR169" s="57">
        <v>0</v>
      </c>
      <c r="AS169" s="57">
        <v>3.9413535303173286</v>
      </c>
      <c r="AT169" s="18">
        <v>6.9134430967317963E-12</v>
      </c>
    </row>
    <row r="170" spans="8:46">
      <c r="H170" s="370">
        <v>115.00000315691399</v>
      </c>
      <c r="I170" s="25">
        <v>-0.90630802448853809</v>
      </c>
      <c r="J170" s="26">
        <v>-2.1567953507716888E-12</v>
      </c>
      <c r="K170" s="26">
        <v>0.42261775252310857</v>
      </c>
      <c r="L170" s="372">
        <v>0</v>
      </c>
      <c r="M170" s="76">
        <v>0</v>
      </c>
      <c r="N170" s="164">
        <v>0</v>
      </c>
      <c r="O170" s="78">
        <v>0</v>
      </c>
      <c r="P170" s="78">
        <v>0</v>
      </c>
      <c r="Q170" s="78">
        <v>0</v>
      </c>
      <c r="R170" s="116">
        <v>0</v>
      </c>
      <c r="AF170"/>
      <c r="AH170" s="467">
        <f t="shared" si="8"/>
        <v>3.2799464164911605</v>
      </c>
      <c r="AI170" s="467">
        <f t="shared" si="9"/>
        <v>0</v>
      </c>
      <c r="AJ170" s="370">
        <v>115.00000315691399</v>
      </c>
      <c r="AK170" s="370">
        <v>-0.90630802448853809</v>
      </c>
      <c r="AL170" s="57">
        <v>-2.1567953507716888E-12</v>
      </c>
      <c r="AM170" s="57">
        <v>0.42261775252310857</v>
      </c>
      <c r="AN170" s="370">
        <v>0</v>
      </c>
      <c r="AO170" s="370">
        <v>0</v>
      </c>
      <c r="AP170" s="57">
        <v>0</v>
      </c>
      <c r="AQ170" s="57">
        <v>0</v>
      </c>
      <c r="AR170" s="57">
        <v>0</v>
      </c>
      <c r="AS170" s="57">
        <v>0</v>
      </c>
      <c r="AT170" s="18">
        <v>0</v>
      </c>
    </row>
    <row r="171" spans="8:46">
      <c r="H171" s="370">
        <v>120.00000329417112</v>
      </c>
      <c r="I171" s="25">
        <v>-0.86602569692842102</v>
      </c>
      <c r="J171" s="26">
        <v>-2.5517062392660569E-12</v>
      </c>
      <c r="K171" s="26">
        <v>0.49999949225938489</v>
      </c>
      <c r="L171" s="372">
        <v>0</v>
      </c>
      <c r="M171" s="76">
        <v>0</v>
      </c>
      <c r="N171" s="164">
        <v>0</v>
      </c>
      <c r="O171" s="78">
        <v>0</v>
      </c>
      <c r="P171" s="78">
        <v>0</v>
      </c>
      <c r="Q171" s="78">
        <v>0</v>
      </c>
      <c r="R171" s="116">
        <v>0</v>
      </c>
      <c r="AF171"/>
      <c r="AH171" s="467">
        <f t="shared" si="8"/>
        <v>3.2799464164911605</v>
      </c>
      <c r="AI171" s="467">
        <f t="shared" si="9"/>
        <v>0</v>
      </c>
      <c r="AJ171" s="370">
        <v>120.00000329417112</v>
      </c>
      <c r="AK171" s="370">
        <v>-0.86602569692842102</v>
      </c>
      <c r="AL171" s="57">
        <v>-2.5517062392660569E-12</v>
      </c>
      <c r="AM171" s="57">
        <v>0.49999949225938489</v>
      </c>
      <c r="AN171" s="370">
        <v>0</v>
      </c>
      <c r="AO171" s="370">
        <v>0</v>
      </c>
      <c r="AP171" s="57">
        <v>0</v>
      </c>
      <c r="AQ171" s="57">
        <v>0</v>
      </c>
      <c r="AR171" s="57">
        <v>0</v>
      </c>
      <c r="AS171" s="57">
        <v>0</v>
      </c>
      <c r="AT171" s="18">
        <v>0</v>
      </c>
    </row>
    <row r="172" spans="8:46">
      <c r="H172" s="370">
        <v>125.00000343142825</v>
      </c>
      <c r="I172" s="25">
        <v>-0.81915239458180711</v>
      </c>
      <c r="J172" s="26">
        <v>-2.9271971014496314E-12</v>
      </c>
      <c r="K172" s="26">
        <v>0.57357593608073509</v>
      </c>
      <c r="L172" s="372">
        <v>0</v>
      </c>
      <c r="M172" s="76">
        <v>0</v>
      </c>
      <c r="N172" s="164">
        <v>0</v>
      </c>
      <c r="O172" s="78">
        <v>0</v>
      </c>
      <c r="P172" s="78">
        <v>0</v>
      </c>
      <c r="Q172" s="78">
        <v>0</v>
      </c>
      <c r="R172" s="116">
        <v>0</v>
      </c>
      <c r="AF172"/>
      <c r="AH172" s="467">
        <f t="shared" si="8"/>
        <v>3.2799464164911605</v>
      </c>
      <c r="AI172" s="467">
        <f t="shared" si="9"/>
        <v>0</v>
      </c>
      <c r="AJ172" s="370">
        <v>125.00000343142825</v>
      </c>
      <c r="AK172" s="370">
        <v>-0.81915239458180711</v>
      </c>
      <c r="AL172" s="57">
        <v>-2.9271971014496314E-12</v>
      </c>
      <c r="AM172" s="57">
        <v>0.57357593608073509</v>
      </c>
      <c r="AN172" s="370">
        <v>0</v>
      </c>
      <c r="AO172" s="370">
        <v>0</v>
      </c>
      <c r="AP172" s="57">
        <v>0</v>
      </c>
      <c r="AQ172" s="57">
        <v>0</v>
      </c>
      <c r="AR172" s="57">
        <v>0</v>
      </c>
      <c r="AS172" s="57">
        <v>0</v>
      </c>
      <c r="AT172" s="18">
        <v>0</v>
      </c>
    </row>
    <row r="173" spans="8:46">
      <c r="H173" s="370">
        <v>130.00000356868537</v>
      </c>
      <c r="I173" s="25">
        <v>-0.76604485138283041</v>
      </c>
      <c r="J173" s="26">
        <v>-3.2804102249765088E-12</v>
      </c>
      <c r="K173" s="26">
        <v>0.64278712313631292</v>
      </c>
      <c r="L173" s="372">
        <v>0</v>
      </c>
      <c r="M173" s="76">
        <v>0</v>
      </c>
      <c r="N173" s="164">
        <v>0</v>
      </c>
      <c r="O173" s="78">
        <v>0</v>
      </c>
      <c r="P173" s="78">
        <v>0</v>
      </c>
      <c r="Q173" s="78">
        <v>0</v>
      </c>
      <c r="R173" s="116">
        <v>0</v>
      </c>
      <c r="AF173"/>
      <c r="AH173" s="467">
        <f t="shared" si="8"/>
        <v>3.2799464164911605</v>
      </c>
      <c r="AI173" s="467">
        <f t="shared" si="9"/>
        <v>0</v>
      </c>
      <c r="AJ173" s="370">
        <v>130.00000356868537</v>
      </c>
      <c r="AK173" s="370">
        <v>-0.76604485138283041</v>
      </c>
      <c r="AL173" s="57">
        <v>-3.2804102249765088E-12</v>
      </c>
      <c r="AM173" s="57">
        <v>0.64278712313631292</v>
      </c>
      <c r="AN173" s="370">
        <v>0</v>
      </c>
      <c r="AO173" s="370">
        <v>0</v>
      </c>
      <c r="AP173" s="57">
        <v>0</v>
      </c>
      <c r="AQ173" s="57">
        <v>0</v>
      </c>
      <c r="AR173" s="57">
        <v>0</v>
      </c>
      <c r="AS173" s="57">
        <v>0</v>
      </c>
      <c r="AT173" s="18">
        <v>0</v>
      </c>
    </row>
    <row r="174" spans="8:46">
      <c r="H174" s="370">
        <v>135.0000037059425</v>
      </c>
      <c r="I174" s="25">
        <v>-0.70710724757630172</v>
      </c>
      <c r="J174" s="26">
        <v>-3.6086574445529513E-12</v>
      </c>
      <c r="K174" s="26">
        <v>0.70710631479648567</v>
      </c>
      <c r="L174" s="372">
        <v>0</v>
      </c>
      <c r="M174" s="76">
        <v>0</v>
      </c>
      <c r="N174" s="164">
        <v>0</v>
      </c>
      <c r="O174" s="78">
        <v>0</v>
      </c>
      <c r="P174" s="78">
        <v>0</v>
      </c>
      <c r="Q174" s="78">
        <v>0</v>
      </c>
      <c r="R174" s="116">
        <v>0</v>
      </c>
      <c r="AF174"/>
      <c r="AH174" s="467">
        <f t="shared" si="8"/>
        <v>3.2799464164911605</v>
      </c>
      <c r="AI174" s="467">
        <f t="shared" si="9"/>
        <v>0</v>
      </c>
      <c r="AJ174" s="370">
        <v>135.0000037059425</v>
      </c>
      <c r="AK174" s="370">
        <v>-0.70710724757630172</v>
      </c>
      <c r="AL174" s="57">
        <v>-3.6086574445529513E-12</v>
      </c>
      <c r="AM174" s="57">
        <v>0.70710631479648567</v>
      </c>
      <c r="AN174" s="370">
        <v>0</v>
      </c>
      <c r="AO174" s="370">
        <v>0</v>
      </c>
      <c r="AP174" s="57">
        <v>0</v>
      </c>
      <c r="AQ174" s="57">
        <v>0</v>
      </c>
      <c r="AR174" s="57">
        <v>0</v>
      </c>
      <c r="AS174" s="57">
        <v>0</v>
      </c>
      <c r="AT174" s="18">
        <v>0</v>
      </c>
    </row>
    <row r="175" spans="8:46">
      <c r="H175" s="370">
        <v>140.00000384319964</v>
      </c>
      <c r="I175" s="25">
        <v>-0.64278813366371668</v>
      </c>
      <c r="J175" s="26">
        <v>-3.9094406004995552E-12</v>
      </c>
      <c r="K175" s="26">
        <v>0.76604400344961632</v>
      </c>
      <c r="L175" s="372">
        <v>0</v>
      </c>
      <c r="M175" s="76">
        <v>0</v>
      </c>
      <c r="N175" s="164">
        <v>0</v>
      </c>
      <c r="O175" s="78">
        <v>0</v>
      </c>
      <c r="P175" s="78">
        <v>0</v>
      </c>
      <c r="Q175" s="78">
        <v>0</v>
      </c>
      <c r="R175" s="116">
        <v>0</v>
      </c>
      <c r="AF175"/>
      <c r="AH175" s="467">
        <f t="shared" si="8"/>
        <v>3.2799464164911605</v>
      </c>
      <c r="AI175" s="467">
        <f t="shared" si="9"/>
        <v>0</v>
      </c>
      <c r="AJ175" s="370">
        <v>140.00000384319964</v>
      </c>
      <c r="AK175" s="370">
        <v>-0.64278813366371668</v>
      </c>
      <c r="AL175" s="57">
        <v>-3.9094406004995552E-12</v>
      </c>
      <c r="AM175" s="57">
        <v>0.76604400344961632</v>
      </c>
      <c r="AN175" s="370">
        <v>0</v>
      </c>
      <c r="AO175" s="370">
        <v>0</v>
      </c>
      <c r="AP175" s="57">
        <v>0</v>
      </c>
      <c r="AQ175" s="57">
        <v>0</v>
      </c>
      <c r="AR175" s="57">
        <v>0</v>
      </c>
      <c r="AS175" s="57">
        <v>0</v>
      </c>
      <c r="AT175" s="18">
        <v>0</v>
      </c>
    </row>
    <row r="176" spans="8:46">
      <c r="H176" s="370">
        <v>145.00000398045677</v>
      </c>
      <c r="I176" s="25">
        <v>-0.57357701666500838</v>
      </c>
      <c r="J176" s="26">
        <v>-4.1804705512558813E-12</v>
      </c>
      <c r="K176" s="26">
        <v>0.81915163794847456</v>
      </c>
      <c r="L176" s="372">
        <v>0</v>
      </c>
      <c r="M176" s="76">
        <v>0</v>
      </c>
      <c r="N176" s="164">
        <v>0</v>
      </c>
      <c r="O176" s="78">
        <v>0</v>
      </c>
      <c r="P176" s="78">
        <v>0</v>
      </c>
      <c r="Q176" s="78">
        <v>0</v>
      </c>
      <c r="R176" s="116">
        <v>0</v>
      </c>
      <c r="AF176"/>
      <c r="AH176" s="467">
        <f t="shared" si="8"/>
        <v>3.2799464164911605</v>
      </c>
      <c r="AI176" s="467">
        <f t="shared" si="9"/>
        <v>0</v>
      </c>
      <c r="AJ176" s="370">
        <v>145.00000398045677</v>
      </c>
      <c r="AK176" s="370">
        <v>-0.57357701666500838</v>
      </c>
      <c r="AL176" s="57">
        <v>-4.1804705512558813E-12</v>
      </c>
      <c r="AM176" s="57">
        <v>0.81915163794847456</v>
      </c>
      <c r="AN176" s="370">
        <v>0</v>
      </c>
      <c r="AO176" s="370">
        <v>0</v>
      </c>
      <c r="AP176" s="57">
        <v>0</v>
      </c>
      <c r="AQ176" s="57">
        <v>0</v>
      </c>
      <c r="AR176" s="57">
        <v>0</v>
      </c>
      <c r="AS176" s="57">
        <v>0</v>
      </c>
      <c r="AT176" s="18">
        <v>0</v>
      </c>
    </row>
    <row r="177" spans="8:46">
      <c r="H177" s="370">
        <v>150.00000411771387</v>
      </c>
      <c r="I177" s="25">
        <v>-0.50000063467663203</v>
      </c>
      <c r="J177" s="26">
        <v>-4.4196845951309239E-12</v>
      </c>
      <c r="K177" s="26">
        <v>0.86602503735340419</v>
      </c>
      <c r="L177" s="372">
        <v>0</v>
      </c>
      <c r="M177" s="76">
        <v>0</v>
      </c>
      <c r="N177" s="164">
        <v>0</v>
      </c>
      <c r="O177" s="78">
        <v>0</v>
      </c>
      <c r="P177" s="78">
        <v>0</v>
      </c>
      <c r="Q177" s="78">
        <v>0</v>
      </c>
      <c r="R177" s="116">
        <v>0</v>
      </c>
      <c r="AF177"/>
      <c r="AH177" s="467">
        <f t="shared" si="8"/>
        <v>3.2799464164911605</v>
      </c>
      <c r="AI177" s="467">
        <f t="shared" si="9"/>
        <v>0</v>
      </c>
      <c r="AJ177" s="370">
        <v>150.00000411771387</v>
      </c>
      <c r="AK177" s="370">
        <v>-0.50000063467663203</v>
      </c>
      <c r="AL177" s="57">
        <v>-4.4196845951309239E-12</v>
      </c>
      <c r="AM177" s="57">
        <v>0.86602503735340419</v>
      </c>
      <c r="AN177" s="370">
        <v>0</v>
      </c>
      <c r="AO177" s="370">
        <v>0</v>
      </c>
      <c r="AP177" s="57">
        <v>0</v>
      </c>
      <c r="AQ177" s="57">
        <v>0</v>
      </c>
      <c r="AR177" s="57">
        <v>0</v>
      </c>
      <c r="AS177" s="57">
        <v>0</v>
      </c>
      <c r="AT177" s="18">
        <v>0</v>
      </c>
    </row>
    <row r="178" spans="8:46">
      <c r="H178" s="370">
        <v>155.000004254971</v>
      </c>
      <c r="I178" s="25">
        <v>-0.42261894807885086</v>
      </c>
      <c r="J178" s="26">
        <v>-4.6252621687093105E-12</v>
      </c>
      <c r="K178" s="26">
        <v>0.90630746699159748</v>
      </c>
      <c r="L178" s="372">
        <v>0</v>
      </c>
      <c r="M178" s="76">
        <v>0</v>
      </c>
      <c r="N178" s="164">
        <v>0</v>
      </c>
      <c r="O178" s="78">
        <v>0</v>
      </c>
      <c r="P178" s="78">
        <v>0</v>
      </c>
      <c r="Q178" s="78">
        <v>0</v>
      </c>
      <c r="R178" s="116">
        <v>0</v>
      </c>
      <c r="AF178"/>
      <c r="AH178" s="467">
        <f t="shared" si="8"/>
        <v>3.2799464164911605</v>
      </c>
      <c r="AI178" s="467">
        <f t="shared" si="9"/>
        <v>0</v>
      </c>
      <c r="AJ178" s="370">
        <v>155.000004254971</v>
      </c>
      <c r="AK178" s="370">
        <v>-0.42261894807885086</v>
      </c>
      <c r="AL178" s="57">
        <v>-4.6252621687093105E-12</v>
      </c>
      <c r="AM178" s="57">
        <v>0.90630746699159748</v>
      </c>
      <c r="AN178" s="370">
        <v>0</v>
      </c>
      <c r="AO178" s="370">
        <v>0</v>
      </c>
      <c r="AP178" s="57">
        <v>0</v>
      </c>
      <c r="AQ178" s="57">
        <v>0</v>
      </c>
      <c r="AR178" s="57">
        <v>0</v>
      </c>
      <c r="AS178" s="57">
        <v>0</v>
      </c>
      <c r="AT178" s="18">
        <v>0</v>
      </c>
    </row>
    <row r="179" spans="8:46">
      <c r="H179" s="370">
        <v>160.00000439222813</v>
      </c>
      <c r="I179" s="25">
        <v>-0.34202087790150115</v>
      </c>
      <c r="J179" s="26">
        <v>-4.7956387024389719E-12</v>
      </c>
      <c r="K179" s="26">
        <v>0.93969235342184532</v>
      </c>
      <c r="L179" s="372">
        <v>0</v>
      </c>
      <c r="M179" s="76">
        <v>0</v>
      </c>
      <c r="N179" s="164">
        <v>0</v>
      </c>
      <c r="O179" s="78">
        <v>0</v>
      </c>
      <c r="P179" s="78">
        <v>0</v>
      </c>
      <c r="Q179" s="78">
        <v>0</v>
      </c>
      <c r="R179" s="116">
        <v>0</v>
      </c>
      <c r="AF179"/>
      <c r="AH179" s="467">
        <f t="shared" si="8"/>
        <v>3.2799464164911605</v>
      </c>
      <c r="AI179" s="467">
        <f t="shared" si="9"/>
        <v>0</v>
      </c>
      <c r="AJ179" s="370">
        <v>160.00000439222813</v>
      </c>
      <c r="AK179" s="370">
        <v>-0.34202087790150115</v>
      </c>
      <c r="AL179" s="57">
        <v>-4.7956387024389719E-12</v>
      </c>
      <c r="AM179" s="57">
        <v>0.93969235342184532</v>
      </c>
      <c r="AN179" s="370">
        <v>0</v>
      </c>
      <c r="AO179" s="370">
        <v>0</v>
      </c>
      <c r="AP179" s="57">
        <v>0</v>
      </c>
      <c r="AQ179" s="57">
        <v>0</v>
      </c>
      <c r="AR179" s="57">
        <v>0</v>
      </c>
      <c r="AS179" s="57">
        <v>0</v>
      </c>
      <c r="AT179" s="18">
        <v>0</v>
      </c>
    </row>
    <row r="180" spans="8:46">
      <c r="H180" s="370">
        <v>165.00000452948527</v>
      </c>
      <c r="I180" s="25">
        <v>-0.25881982378187579</v>
      </c>
      <c r="J180" s="26">
        <v>-4.9295175279507693E-12</v>
      </c>
      <c r="K180" s="26">
        <v>0.96592561764222762</v>
      </c>
      <c r="L180" s="372">
        <v>0</v>
      </c>
      <c r="M180" s="76">
        <v>0</v>
      </c>
      <c r="N180" s="164">
        <v>0</v>
      </c>
      <c r="O180" s="78">
        <v>0</v>
      </c>
      <c r="P180" s="78">
        <v>0</v>
      </c>
      <c r="Q180" s="78">
        <v>0</v>
      </c>
      <c r="R180" s="116">
        <v>0</v>
      </c>
      <c r="AF180"/>
      <c r="AH180" s="467">
        <f t="shared" si="8"/>
        <v>3.2799464164911605</v>
      </c>
      <c r="AI180" s="467">
        <f t="shared" si="9"/>
        <v>0</v>
      </c>
      <c r="AJ180" s="370">
        <v>165.00000452948527</v>
      </c>
      <c r="AK180" s="370">
        <v>-0.25881982378187579</v>
      </c>
      <c r="AL180" s="57">
        <v>-4.9295175279507693E-12</v>
      </c>
      <c r="AM180" s="57">
        <v>0.96592561764222762</v>
      </c>
      <c r="AN180" s="370">
        <v>0</v>
      </c>
      <c r="AO180" s="370">
        <v>0</v>
      </c>
      <c r="AP180" s="57">
        <v>0</v>
      </c>
      <c r="AQ180" s="57">
        <v>0</v>
      </c>
      <c r="AR180" s="57">
        <v>0</v>
      </c>
      <c r="AS180" s="57">
        <v>0</v>
      </c>
      <c r="AT180" s="18">
        <v>0</v>
      </c>
    </row>
    <row r="181" spans="8:46">
      <c r="H181" s="370">
        <v>170.0000046667424</v>
      </c>
      <c r="I181" s="25">
        <v>-0.17364899562570194</v>
      </c>
      <c r="J181" s="26">
        <v>-5.0258797464883039E-12</v>
      </c>
      <c r="K181" s="26">
        <v>0.98480760878365736</v>
      </c>
      <c r="L181" s="372">
        <v>0</v>
      </c>
      <c r="M181" s="76">
        <v>0</v>
      </c>
      <c r="N181" s="164">
        <v>0</v>
      </c>
      <c r="O181" s="78">
        <v>0</v>
      </c>
      <c r="P181" s="78">
        <v>0</v>
      </c>
      <c r="Q181" s="78">
        <v>0</v>
      </c>
      <c r="R181" s="116">
        <v>0</v>
      </c>
      <c r="AF181"/>
      <c r="AH181" s="467">
        <f t="shared" si="8"/>
        <v>3.2799464164911605</v>
      </c>
      <c r="AI181" s="467">
        <f t="shared" si="9"/>
        <v>0</v>
      </c>
      <c r="AJ181" s="370">
        <v>170.0000046667424</v>
      </c>
      <c r="AK181" s="370">
        <v>-0.17364899562570194</v>
      </c>
      <c r="AL181" s="57">
        <v>-5.0258797464883039E-12</v>
      </c>
      <c r="AM181" s="57">
        <v>0.98480760878365736</v>
      </c>
      <c r="AN181" s="370">
        <v>0</v>
      </c>
      <c r="AO181" s="370">
        <v>0</v>
      </c>
      <c r="AP181" s="57">
        <v>0</v>
      </c>
      <c r="AQ181" s="57">
        <v>0</v>
      </c>
      <c r="AR181" s="57">
        <v>0</v>
      </c>
      <c r="AS181" s="57">
        <v>0</v>
      </c>
      <c r="AT181" s="18">
        <v>0</v>
      </c>
    </row>
    <row r="182" spans="8:46">
      <c r="H182" s="370">
        <v>175.00000480399953</v>
      </c>
      <c r="I182" s="25">
        <v>-8.7156594500126236E-2</v>
      </c>
      <c r="J182" s="26">
        <v>-5.0839919833430858E-12</v>
      </c>
      <c r="K182" s="26">
        <v>0.99619462357269351</v>
      </c>
      <c r="L182" s="372">
        <v>0</v>
      </c>
      <c r="M182" s="76">
        <v>0</v>
      </c>
      <c r="N182" s="164">
        <v>0</v>
      </c>
      <c r="O182" s="78">
        <v>0</v>
      </c>
      <c r="P182" s="78">
        <v>0</v>
      </c>
      <c r="Q182" s="78">
        <v>0</v>
      </c>
      <c r="R182" s="116">
        <v>0</v>
      </c>
      <c r="AF182"/>
      <c r="AH182" s="467">
        <f t="shared" si="8"/>
        <v>3.2799464164911605</v>
      </c>
      <c r="AI182" s="467">
        <f t="shared" si="9"/>
        <v>0</v>
      </c>
      <c r="AJ182" s="370">
        <v>175.00000480399953</v>
      </c>
      <c r="AK182" s="370">
        <v>-8.7156594500126236E-2</v>
      </c>
      <c r="AL182" s="57">
        <v>-5.0839919833430858E-12</v>
      </c>
      <c r="AM182" s="57">
        <v>0.99619462357269351</v>
      </c>
      <c r="AN182" s="370">
        <v>0</v>
      </c>
      <c r="AO182" s="370">
        <v>0</v>
      </c>
      <c r="AP182" s="57">
        <v>0</v>
      </c>
      <c r="AQ182" s="57">
        <v>0</v>
      </c>
      <c r="AR182" s="57">
        <v>0</v>
      </c>
      <c r="AS182" s="57">
        <v>0</v>
      </c>
      <c r="AT182" s="18">
        <v>0</v>
      </c>
    </row>
    <row r="183" spans="8:46">
      <c r="H183" s="370">
        <v>180.00000494125663</v>
      </c>
      <c r="I183" s="25">
        <v>-8.7943494549227641E-7</v>
      </c>
      <c r="J183" s="26">
        <v>-5.1034119692792091E-12</v>
      </c>
      <c r="K183" s="26">
        <v>0.99999999999961331</v>
      </c>
      <c r="L183" s="372">
        <v>0</v>
      </c>
      <c r="M183" s="76">
        <v>0</v>
      </c>
      <c r="N183" s="164">
        <v>0</v>
      </c>
      <c r="O183" s="78">
        <v>0</v>
      </c>
      <c r="P183" s="78">
        <v>0</v>
      </c>
      <c r="Q183" s="78">
        <v>0</v>
      </c>
      <c r="R183" s="116">
        <v>0</v>
      </c>
      <c r="AF183"/>
      <c r="AH183" s="467">
        <f t="shared" si="8"/>
        <v>3.2799464164911605</v>
      </c>
      <c r="AI183" s="467">
        <f t="shared" si="9"/>
        <v>0</v>
      </c>
      <c r="AJ183" s="370">
        <v>180.00000494125663</v>
      </c>
      <c r="AK183" s="370">
        <v>-8.7943494549227641E-7</v>
      </c>
      <c r="AL183" s="57">
        <v>-5.1034119692792091E-12</v>
      </c>
      <c r="AM183" s="57">
        <v>0.99999999999961331</v>
      </c>
      <c r="AN183" s="370">
        <v>0</v>
      </c>
      <c r="AO183" s="370">
        <v>0</v>
      </c>
      <c r="AP183" s="57">
        <v>0</v>
      </c>
      <c r="AQ183" s="57">
        <v>0</v>
      </c>
      <c r="AR183" s="57">
        <v>0</v>
      </c>
      <c r="AS183" s="57">
        <v>0</v>
      </c>
      <c r="AT183" s="18">
        <v>0</v>
      </c>
    </row>
    <row r="184" spans="8:46">
      <c r="H184" s="370">
        <v>185.00000507851377</v>
      </c>
      <c r="I184" s="25">
        <v>8.7154842323260678E-2</v>
      </c>
      <c r="J184" s="26">
        <v>-5.0839919064694667E-12</v>
      </c>
      <c r="K184" s="26">
        <v>0.99619477686826263</v>
      </c>
      <c r="L184" s="372">
        <v>0</v>
      </c>
      <c r="M184" s="76">
        <v>0</v>
      </c>
      <c r="N184" s="164">
        <v>0</v>
      </c>
      <c r="O184" s="78">
        <v>0</v>
      </c>
      <c r="P184" s="78">
        <v>0</v>
      </c>
      <c r="Q184" s="78">
        <v>0</v>
      </c>
      <c r="R184" s="116">
        <v>0</v>
      </c>
      <c r="AF184"/>
      <c r="AH184" s="467">
        <f t="shared" si="8"/>
        <v>3.2799464164911605</v>
      </c>
      <c r="AI184" s="467">
        <f t="shared" si="9"/>
        <v>0</v>
      </c>
      <c r="AJ184" s="370">
        <v>185.00000507851377</v>
      </c>
      <c r="AK184" s="370">
        <v>8.7154842323260678E-2</v>
      </c>
      <c r="AL184" s="57">
        <v>-5.0839919064694667E-12</v>
      </c>
      <c r="AM184" s="57">
        <v>0.99619477686826263</v>
      </c>
      <c r="AN184" s="370">
        <v>0</v>
      </c>
      <c r="AO184" s="370">
        <v>0</v>
      </c>
      <c r="AP184" s="57">
        <v>0</v>
      </c>
      <c r="AQ184" s="57">
        <v>0</v>
      </c>
      <c r="AR184" s="57">
        <v>0</v>
      </c>
      <c r="AS184" s="57">
        <v>0</v>
      </c>
      <c r="AT184" s="18">
        <v>0</v>
      </c>
    </row>
    <row r="185" spans="8:46">
      <c r="H185" s="370">
        <v>190.0000052157709</v>
      </c>
      <c r="I185" s="25">
        <v>0.17364726347698184</v>
      </c>
      <c r="J185" s="26">
        <v>-5.02587959332612E-12</v>
      </c>
      <c r="K185" s="26">
        <v>0.98480791420812397</v>
      </c>
      <c r="L185" s="372">
        <v>0</v>
      </c>
      <c r="M185" s="76">
        <v>0</v>
      </c>
      <c r="N185" s="164">
        <v>0</v>
      </c>
      <c r="O185" s="78">
        <v>0</v>
      </c>
      <c r="P185" s="78">
        <v>0</v>
      </c>
      <c r="Q185" s="78">
        <v>0</v>
      </c>
      <c r="R185" s="116">
        <v>0</v>
      </c>
      <c r="AF185"/>
      <c r="AH185" s="467">
        <f t="shared" si="8"/>
        <v>3.2799464164911605</v>
      </c>
      <c r="AI185" s="467">
        <f t="shared" si="9"/>
        <v>0</v>
      </c>
      <c r="AJ185" s="370">
        <v>190.0000052157709</v>
      </c>
      <c r="AK185" s="370">
        <v>0.17364726347698184</v>
      </c>
      <c r="AL185" s="57">
        <v>-5.02587959332612E-12</v>
      </c>
      <c r="AM185" s="57">
        <v>0.98480791420812397</v>
      </c>
      <c r="AN185" s="370">
        <v>0</v>
      </c>
      <c r="AO185" s="370">
        <v>0</v>
      </c>
      <c r="AP185" s="57">
        <v>0</v>
      </c>
      <c r="AQ185" s="57">
        <v>0</v>
      </c>
      <c r="AR185" s="57">
        <v>0</v>
      </c>
      <c r="AS185" s="57">
        <v>0</v>
      </c>
      <c r="AT185" s="18">
        <v>0</v>
      </c>
    </row>
    <row r="186" spans="8:46">
      <c r="H186" s="370">
        <v>195.00000535302803</v>
      </c>
      <c r="I186" s="25">
        <v>0.25881812484398786</v>
      </c>
      <c r="J186" s="26">
        <v>-4.9295172996656803E-12</v>
      </c>
      <c r="K186" s="26">
        <v>0.96592607287112908</v>
      </c>
      <c r="L186" s="372">
        <v>0</v>
      </c>
      <c r="M186" s="76">
        <v>0</v>
      </c>
      <c r="N186" s="164">
        <v>0</v>
      </c>
      <c r="O186" s="78">
        <v>0</v>
      </c>
      <c r="P186" s="78">
        <v>0</v>
      </c>
      <c r="Q186" s="78">
        <v>0</v>
      </c>
      <c r="R186" s="116">
        <v>0</v>
      </c>
      <c r="AF186"/>
      <c r="AH186" s="467">
        <f t="shared" si="8"/>
        <v>3.2799464164911605</v>
      </c>
      <c r="AI186" s="467">
        <f t="shared" si="9"/>
        <v>0</v>
      </c>
      <c r="AJ186" s="370">
        <v>195.00000535302803</v>
      </c>
      <c r="AK186" s="370">
        <v>0.25881812484398786</v>
      </c>
      <c r="AL186" s="57">
        <v>-4.9295172996656803E-12</v>
      </c>
      <c r="AM186" s="57">
        <v>0.96592607287112908</v>
      </c>
      <c r="AN186" s="370">
        <v>0</v>
      </c>
      <c r="AO186" s="370">
        <v>0</v>
      </c>
      <c r="AP186" s="57">
        <v>0</v>
      </c>
      <c r="AQ186" s="57">
        <v>0</v>
      </c>
      <c r="AR186" s="57">
        <v>0</v>
      </c>
      <c r="AS186" s="57">
        <v>0</v>
      </c>
      <c r="AT186" s="18">
        <v>0</v>
      </c>
    </row>
    <row r="187" spans="8:46">
      <c r="H187" s="370">
        <v>200.00000549028516</v>
      </c>
      <c r="I187" s="25">
        <v>0.34201922510438493</v>
      </c>
      <c r="J187" s="26">
        <v>-4.7956384007683602E-12</v>
      </c>
      <c r="K187" s="26">
        <v>0.939692954990616</v>
      </c>
      <c r="L187" s="372">
        <v>0</v>
      </c>
      <c r="M187" s="76">
        <v>0</v>
      </c>
      <c r="N187" s="164">
        <v>0</v>
      </c>
      <c r="O187" s="78">
        <v>0</v>
      </c>
      <c r="P187" s="78">
        <v>0</v>
      </c>
      <c r="Q187" s="78">
        <v>0</v>
      </c>
      <c r="R187" s="116">
        <v>0</v>
      </c>
      <c r="AF187"/>
      <c r="AH187" s="467">
        <f t="shared" si="8"/>
        <v>3.2799464164911605</v>
      </c>
      <c r="AI187" s="467">
        <f t="shared" si="9"/>
        <v>0</v>
      </c>
      <c r="AJ187" s="370">
        <v>200.00000549028516</v>
      </c>
      <c r="AK187" s="370">
        <v>0.34201922510438493</v>
      </c>
      <c r="AL187" s="57">
        <v>-4.7956384007683602E-12</v>
      </c>
      <c r="AM187" s="57">
        <v>0.939692954990616</v>
      </c>
      <c r="AN187" s="370">
        <v>0</v>
      </c>
      <c r="AO187" s="370">
        <v>0</v>
      </c>
      <c r="AP187" s="57">
        <v>0</v>
      </c>
      <c r="AQ187" s="57">
        <v>0</v>
      </c>
      <c r="AR187" s="57">
        <v>0</v>
      </c>
      <c r="AS187" s="57">
        <v>0</v>
      </c>
      <c r="AT187" s="18">
        <v>0</v>
      </c>
    </row>
    <row r="188" spans="8:46">
      <c r="H188" s="370">
        <v>205.00000562754227</v>
      </c>
      <c r="I188" s="25">
        <v>0.42261735400127981</v>
      </c>
      <c r="J188" s="26">
        <v>-4.6252617959490779E-12</v>
      </c>
      <c r="K188" s="26">
        <v>0.90630821032193953</v>
      </c>
      <c r="L188" s="372">
        <v>0</v>
      </c>
      <c r="M188" s="76">
        <v>0</v>
      </c>
      <c r="N188" s="164">
        <v>0</v>
      </c>
      <c r="O188" s="78">
        <v>0</v>
      </c>
      <c r="P188" s="78">
        <v>0</v>
      </c>
      <c r="Q188" s="78">
        <v>0</v>
      </c>
      <c r="R188" s="116">
        <v>0</v>
      </c>
      <c r="AF188"/>
      <c r="AH188" s="467">
        <f t="shared" si="8"/>
        <v>3.2799464164911605</v>
      </c>
      <c r="AI188" s="467">
        <f t="shared" si="9"/>
        <v>0</v>
      </c>
      <c r="AJ188" s="370">
        <v>205.00000562754227</v>
      </c>
      <c r="AK188" s="370">
        <v>0.42261735400127981</v>
      </c>
      <c r="AL188" s="57">
        <v>-4.6252617959490779E-12</v>
      </c>
      <c r="AM188" s="57">
        <v>0.90630821032193953</v>
      </c>
      <c r="AN188" s="370">
        <v>0</v>
      </c>
      <c r="AO188" s="370">
        <v>0</v>
      </c>
      <c r="AP188" s="57">
        <v>0</v>
      </c>
      <c r="AQ188" s="57">
        <v>0</v>
      </c>
      <c r="AR188" s="57">
        <v>0</v>
      </c>
      <c r="AS188" s="57">
        <v>0</v>
      </c>
      <c r="AT188" s="18">
        <v>0</v>
      </c>
    </row>
    <row r="189" spans="8:46">
      <c r="H189" s="370">
        <v>210.0000057647994</v>
      </c>
      <c r="I189" s="25">
        <v>0.49999911145049553</v>
      </c>
      <c r="J189" s="26">
        <v>-4.419684154117993E-12</v>
      </c>
      <c r="K189" s="26">
        <v>0.86602591678812646</v>
      </c>
      <c r="L189" s="372">
        <v>0</v>
      </c>
      <c r="M189" s="76">
        <v>0</v>
      </c>
      <c r="N189" s="164">
        <v>0</v>
      </c>
      <c r="O189" s="78">
        <v>0</v>
      </c>
      <c r="P189" s="78">
        <v>0</v>
      </c>
      <c r="Q189" s="78">
        <v>0</v>
      </c>
      <c r="R189" s="116">
        <v>0</v>
      </c>
      <c r="AF189"/>
      <c r="AH189" s="467">
        <f t="shared" si="8"/>
        <v>3.2799464164911605</v>
      </c>
      <c r="AI189" s="467">
        <f t="shared" si="9"/>
        <v>0</v>
      </c>
      <c r="AJ189" s="370">
        <v>210.0000057647994</v>
      </c>
      <c r="AK189" s="370">
        <v>0.49999911145049553</v>
      </c>
      <c r="AL189" s="57">
        <v>-4.419684154117993E-12</v>
      </c>
      <c r="AM189" s="57">
        <v>0.86602591678812646</v>
      </c>
      <c r="AN189" s="370">
        <v>0</v>
      </c>
      <c r="AO189" s="370">
        <v>0</v>
      </c>
      <c r="AP189" s="57">
        <v>0</v>
      </c>
      <c r="AQ189" s="57">
        <v>0</v>
      </c>
      <c r="AR189" s="57">
        <v>0</v>
      </c>
      <c r="AS189" s="57">
        <v>0</v>
      </c>
      <c r="AT189" s="18">
        <v>0</v>
      </c>
    </row>
    <row r="190" spans="8:46">
      <c r="H190" s="370">
        <v>215.00000590205653</v>
      </c>
      <c r="I190" s="25">
        <v>0.57357557588296748</v>
      </c>
      <c r="J190" s="26">
        <v>-4.1804700453466368E-12</v>
      </c>
      <c r="K190" s="26">
        <v>0.81915264679455335</v>
      </c>
      <c r="L190" s="372">
        <v>0</v>
      </c>
      <c r="M190" s="76">
        <v>0</v>
      </c>
      <c r="N190" s="164">
        <v>0</v>
      </c>
      <c r="O190" s="78">
        <v>0</v>
      </c>
      <c r="P190" s="78">
        <v>0</v>
      </c>
      <c r="Q190" s="78">
        <v>0</v>
      </c>
      <c r="R190" s="116">
        <v>0</v>
      </c>
      <c r="AF190"/>
      <c r="AH190" s="467">
        <f t="shared" si="8"/>
        <v>3.2799464164911605</v>
      </c>
      <c r="AI190" s="467">
        <f t="shared" si="9"/>
        <v>0</v>
      </c>
      <c r="AJ190" s="370">
        <v>215.00000590205653</v>
      </c>
      <c r="AK190" s="370">
        <v>0.57357557588296748</v>
      </c>
      <c r="AL190" s="57">
        <v>-4.1804700453466368E-12</v>
      </c>
      <c r="AM190" s="57">
        <v>0.81915264679455335</v>
      </c>
      <c r="AN190" s="370">
        <v>0</v>
      </c>
      <c r="AO190" s="370">
        <v>0</v>
      </c>
      <c r="AP190" s="57">
        <v>0</v>
      </c>
      <c r="AQ190" s="57">
        <v>0</v>
      </c>
      <c r="AR190" s="57">
        <v>0</v>
      </c>
      <c r="AS190" s="57">
        <v>0</v>
      </c>
      <c r="AT190" s="18">
        <v>0</v>
      </c>
    </row>
    <row r="191" spans="8:46">
      <c r="H191" s="370">
        <v>220.00000603931366</v>
      </c>
      <c r="I191" s="25">
        <v>0.64278678629098962</v>
      </c>
      <c r="J191" s="26">
        <v>-3.9094400335442611E-12</v>
      </c>
      <c r="K191" s="26">
        <v>0.766045134029126</v>
      </c>
      <c r="L191" s="372">
        <v>0</v>
      </c>
      <c r="M191" s="76">
        <v>0</v>
      </c>
      <c r="N191" s="164">
        <v>0</v>
      </c>
      <c r="O191" s="78">
        <v>0</v>
      </c>
      <c r="P191" s="78">
        <v>0</v>
      </c>
      <c r="Q191" s="78">
        <v>0</v>
      </c>
      <c r="R191" s="116">
        <v>0</v>
      </c>
      <c r="AF191"/>
      <c r="AH191" s="467">
        <f t="shared" si="8"/>
        <v>3.2799464164911605</v>
      </c>
      <c r="AI191" s="467">
        <f t="shared" si="9"/>
        <v>0</v>
      </c>
      <c r="AJ191" s="370">
        <v>220.00000603931366</v>
      </c>
      <c r="AK191" s="370">
        <v>0.64278678629098962</v>
      </c>
      <c r="AL191" s="57">
        <v>-3.9094400335442611E-12</v>
      </c>
      <c r="AM191" s="57">
        <v>0.766045134029126</v>
      </c>
      <c r="AN191" s="370">
        <v>0</v>
      </c>
      <c r="AO191" s="370">
        <v>0</v>
      </c>
      <c r="AP191" s="57">
        <v>0</v>
      </c>
      <c r="AQ191" s="57">
        <v>0</v>
      </c>
      <c r="AR191" s="57">
        <v>0</v>
      </c>
      <c r="AS191" s="57">
        <v>0</v>
      </c>
      <c r="AT191" s="18">
        <v>0</v>
      </c>
    </row>
    <row r="192" spans="8:46">
      <c r="H192" s="370">
        <v>225.00000617657079</v>
      </c>
      <c r="I192" s="25">
        <v>0.70710600386720024</v>
      </c>
      <c r="J192" s="26">
        <v>-3.6086568208664899E-12</v>
      </c>
      <c r="K192" s="26">
        <v>0.70710755850504037</v>
      </c>
      <c r="L192" s="372">
        <v>0</v>
      </c>
      <c r="M192" s="76">
        <v>0</v>
      </c>
      <c r="N192" s="164">
        <v>0</v>
      </c>
      <c r="O192" s="78">
        <v>0</v>
      </c>
      <c r="P192" s="78">
        <v>0</v>
      </c>
      <c r="Q192" s="78">
        <v>0</v>
      </c>
      <c r="R192" s="116">
        <v>0</v>
      </c>
      <c r="AF192"/>
      <c r="AH192" s="467">
        <f t="shared" si="8"/>
        <v>3.2799464164911605</v>
      </c>
      <c r="AI192" s="467">
        <f t="shared" si="9"/>
        <v>0</v>
      </c>
      <c r="AJ192" s="370">
        <v>225.00000617657079</v>
      </c>
      <c r="AK192" s="370">
        <v>0.70710600386720024</v>
      </c>
      <c r="AL192" s="57">
        <v>-3.6086568208664899E-12</v>
      </c>
      <c r="AM192" s="57">
        <v>0.70710755850504037</v>
      </c>
      <c r="AN192" s="370">
        <v>0</v>
      </c>
      <c r="AO192" s="370">
        <v>0</v>
      </c>
      <c r="AP192" s="57">
        <v>0</v>
      </c>
      <c r="AQ192" s="57">
        <v>0</v>
      </c>
      <c r="AR192" s="57">
        <v>0</v>
      </c>
      <c r="AS192" s="57">
        <v>0</v>
      </c>
      <c r="AT192" s="18">
        <v>0</v>
      </c>
    </row>
    <row r="193" spans="8:46">
      <c r="H193" s="370">
        <v>230.00000631382795</v>
      </c>
      <c r="I193" s="25">
        <v>0.76604372080272798</v>
      </c>
      <c r="J193" s="26">
        <v>-3.2804095493055038E-12</v>
      </c>
      <c r="K193" s="26">
        <v>0.64278847050854326</v>
      </c>
      <c r="L193" s="372">
        <v>0</v>
      </c>
      <c r="M193" s="76">
        <v>0</v>
      </c>
      <c r="N193" s="164">
        <v>0</v>
      </c>
      <c r="O193" s="78">
        <v>0</v>
      </c>
      <c r="P193" s="78">
        <v>0</v>
      </c>
      <c r="Q193" s="78">
        <v>0</v>
      </c>
      <c r="R193" s="116">
        <v>0</v>
      </c>
      <c r="AF193"/>
      <c r="AH193" s="467">
        <f t="shared" si="8"/>
        <v>3.2799464164911605</v>
      </c>
      <c r="AI193" s="467">
        <f t="shared" si="9"/>
        <v>0</v>
      </c>
      <c r="AJ193" s="370">
        <v>230.00000631382795</v>
      </c>
      <c r="AK193" s="370">
        <v>0.76604372080272798</v>
      </c>
      <c r="AL193" s="57">
        <v>-3.2804095493055038E-12</v>
      </c>
      <c r="AM193" s="57">
        <v>0.64278847050854326</v>
      </c>
      <c r="AN193" s="370">
        <v>0</v>
      </c>
      <c r="AO193" s="370">
        <v>0</v>
      </c>
      <c r="AP193" s="57">
        <v>0</v>
      </c>
      <c r="AQ193" s="57">
        <v>0</v>
      </c>
      <c r="AR193" s="57">
        <v>0</v>
      </c>
      <c r="AS193" s="57">
        <v>0</v>
      </c>
      <c r="AT193" s="18">
        <v>0</v>
      </c>
    </row>
    <row r="194" spans="8:46">
      <c r="H194" s="370">
        <v>235.00000645108506</v>
      </c>
      <c r="I194" s="25">
        <v>0.81915138573509549</v>
      </c>
      <c r="J194" s="26">
        <v>-2.92719637893635E-12</v>
      </c>
      <c r="K194" s="26">
        <v>0.57357737686233112</v>
      </c>
      <c r="L194" s="372">
        <v>0</v>
      </c>
      <c r="M194" s="76">
        <v>0</v>
      </c>
      <c r="N194" s="164">
        <v>0</v>
      </c>
      <c r="O194" s="78">
        <v>0</v>
      </c>
      <c r="P194" s="78">
        <v>0</v>
      </c>
      <c r="Q194" s="78">
        <v>0</v>
      </c>
      <c r="R194" s="116">
        <v>0</v>
      </c>
      <c r="AF194"/>
      <c r="AH194" s="467">
        <f t="shared" si="8"/>
        <v>3.2799464164911605</v>
      </c>
      <c r="AI194" s="467">
        <f t="shared" si="9"/>
        <v>0</v>
      </c>
      <c r="AJ194" s="370">
        <v>235.00000645108506</v>
      </c>
      <c r="AK194" s="370">
        <v>0.81915138573509549</v>
      </c>
      <c r="AL194" s="57">
        <v>-2.92719637893635E-12</v>
      </c>
      <c r="AM194" s="57">
        <v>0.57357737686233112</v>
      </c>
      <c r="AN194" s="370">
        <v>0</v>
      </c>
      <c r="AO194" s="370">
        <v>0</v>
      </c>
      <c r="AP194" s="57">
        <v>0</v>
      </c>
      <c r="AQ194" s="57">
        <v>0</v>
      </c>
      <c r="AR194" s="57">
        <v>0</v>
      </c>
      <c r="AS194" s="57">
        <v>0</v>
      </c>
      <c r="AT194" s="18">
        <v>0</v>
      </c>
    </row>
    <row r="195" spans="8:46">
      <c r="H195" s="370">
        <v>240.00000658834219</v>
      </c>
      <c r="I195" s="25">
        <v>0.86602481749302873</v>
      </c>
      <c r="J195" s="26">
        <v>-2.5517054754092626E-12</v>
      </c>
      <c r="K195" s="26">
        <v>0.50000101548513498</v>
      </c>
      <c r="L195" s="372">
        <v>0</v>
      </c>
      <c r="M195" s="76">
        <v>0</v>
      </c>
      <c r="N195" s="164">
        <v>0</v>
      </c>
      <c r="O195" s="78">
        <v>0</v>
      </c>
      <c r="P195" s="78">
        <v>0</v>
      </c>
      <c r="Q195" s="78">
        <v>0</v>
      </c>
      <c r="R195" s="116">
        <v>0</v>
      </c>
      <c r="AF195"/>
      <c r="AH195" s="467">
        <f t="shared" si="8"/>
        <v>3.2799464164911605</v>
      </c>
      <c r="AI195" s="467">
        <f t="shared" si="9"/>
        <v>0</v>
      </c>
      <c r="AJ195" s="370">
        <v>240.00000658834219</v>
      </c>
      <c r="AK195" s="370">
        <v>0.86602481749302873</v>
      </c>
      <c r="AL195" s="57">
        <v>-2.5517054754092626E-12</v>
      </c>
      <c r="AM195" s="57">
        <v>0.50000101548513498</v>
      </c>
      <c r="AN195" s="370">
        <v>0</v>
      </c>
      <c r="AO195" s="370">
        <v>0</v>
      </c>
      <c r="AP195" s="57">
        <v>0</v>
      </c>
      <c r="AQ195" s="57">
        <v>0</v>
      </c>
      <c r="AR195" s="57">
        <v>0</v>
      </c>
      <c r="AS195" s="57">
        <v>0</v>
      </c>
      <c r="AT195" s="18">
        <v>0</v>
      </c>
    </row>
    <row r="196" spans="8:46">
      <c r="H196" s="370">
        <v>245.00000672559932</v>
      </c>
      <c r="I196" s="25">
        <v>0.9063072811574957</v>
      </c>
      <c r="J196" s="26">
        <v>-2.1567945513847924E-12</v>
      </c>
      <c r="K196" s="26">
        <v>0.4226193466003515</v>
      </c>
      <c r="L196" s="372">
        <v>0</v>
      </c>
      <c r="M196" s="76">
        <v>0</v>
      </c>
      <c r="N196" s="164">
        <v>0</v>
      </c>
      <c r="O196" s="78">
        <v>0</v>
      </c>
      <c r="P196" s="78">
        <v>0</v>
      </c>
      <c r="Q196" s="78">
        <v>0</v>
      </c>
      <c r="R196" s="116">
        <v>0</v>
      </c>
      <c r="AF196"/>
      <c r="AH196" s="467">
        <f t="shared" si="8"/>
        <v>3.2799464164911605</v>
      </c>
      <c r="AI196" s="467">
        <f t="shared" si="9"/>
        <v>0</v>
      </c>
      <c r="AJ196" s="370">
        <v>245.00000672559932</v>
      </c>
      <c r="AK196" s="370">
        <v>0.9063072811574957</v>
      </c>
      <c r="AL196" s="57">
        <v>-2.1567945513847924E-12</v>
      </c>
      <c r="AM196" s="57">
        <v>0.4226193466003515</v>
      </c>
      <c r="AN196" s="370">
        <v>0</v>
      </c>
      <c r="AO196" s="370">
        <v>0</v>
      </c>
      <c r="AP196" s="57">
        <v>0</v>
      </c>
      <c r="AQ196" s="57">
        <v>0</v>
      </c>
      <c r="AR196" s="57">
        <v>0</v>
      </c>
      <c r="AS196" s="57">
        <v>0</v>
      </c>
      <c r="AT196" s="18">
        <v>0</v>
      </c>
    </row>
    <row r="197" spans="8:46">
      <c r="H197" s="370">
        <v>250.00000686285645</v>
      </c>
      <c r="I197" s="25">
        <v>0.93969220302832546</v>
      </c>
      <c r="J197" s="26">
        <v>-1.7454691176137312E-12</v>
      </c>
      <c r="K197" s="26">
        <v>0.34202129110301355</v>
      </c>
      <c r="L197" s="372">
        <v>1</v>
      </c>
      <c r="M197" s="76">
        <v>0.34202129110301355</v>
      </c>
      <c r="N197" s="164">
        <v>0</v>
      </c>
      <c r="O197" s="78">
        <v>0.93969220303007095</v>
      </c>
      <c r="P197" s="78">
        <v>0</v>
      </c>
      <c r="Q197" s="78">
        <v>0</v>
      </c>
      <c r="R197" s="116">
        <v>1.8426441500929999E-12</v>
      </c>
      <c r="AF197"/>
      <c r="AH197" s="467">
        <f t="shared" si="8"/>
        <v>3.2799464164911605</v>
      </c>
      <c r="AI197" s="467">
        <f t="shared" si="9"/>
        <v>5.3758909084501258</v>
      </c>
      <c r="AJ197" s="370">
        <v>250.00000686285645</v>
      </c>
      <c r="AK197" s="370">
        <v>0.93969220302832546</v>
      </c>
      <c r="AL197" s="57">
        <v>-1.7454691176137312E-12</v>
      </c>
      <c r="AM197" s="57">
        <v>0.34202129110301355</v>
      </c>
      <c r="AN197" s="370">
        <v>1</v>
      </c>
      <c r="AO197" s="370">
        <v>1.4345399012733697</v>
      </c>
      <c r="AP197" s="57">
        <v>0</v>
      </c>
      <c r="AQ197" s="57">
        <v>3.9413510071690268</v>
      </c>
      <c r="AR197" s="57">
        <v>0</v>
      </c>
      <c r="AS197" s="57">
        <v>0</v>
      </c>
      <c r="AT197" s="18">
        <v>7.728602358735069E-12</v>
      </c>
    </row>
    <row r="198" spans="8:46">
      <c r="H198" s="370">
        <v>255.00000700011358</v>
      </c>
      <c r="I198" s="25">
        <v>0.96592550383387488</v>
      </c>
      <c r="J198" s="26">
        <v>-1.3208596091842617E-12</v>
      </c>
      <c r="K198" s="26">
        <v>0.25882024851868696</v>
      </c>
      <c r="L198" s="372">
        <v>1</v>
      </c>
      <c r="M198" s="76">
        <v>0.25882024851868696</v>
      </c>
      <c r="N198" s="164">
        <v>0</v>
      </c>
      <c r="O198" s="78">
        <v>0.96592550383519571</v>
      </c>
      <c r="P198" s="78">
        <v>0</v>
      </c>
      <c r="Q198" s="78">
        <v>0</v>
      </c>
      <c r="R198" s="116">
        <v>1.4207474681077176E-12</v>
      </c>
      <c r="AF198"/>
      <c r="AH198" s="467">
        <f t="shared" si="8"/>
        <v>3.2799464164911605</v>
      </c>
      <c r="AI198" s="467">
        <f t="shared" si="9"/>
        <v>5.1369511091038484</v>
      </c>
      <c r="AJ198" s="370">
        <v>255.00000700011358</v>
      </c>
      <c r="AK198" s="370">
        <v>0.96592550383387488</v>
      </c>
      <c r="AL198" s="57">
        <v>-1.3208596091842617E-12</v>
      </c>
      <c r="AM198" s="57">
        <v>0.25882024851868696</v>
      </c>
      <c r="AN198" s="370">
        <v>1</v>
      </c>
      <c r="AO198" s="370">
        <v>1.0855697683619288</v>
      </c>
      <c r="AP198" s="57">
        <v>0</v>
      </c>
      <c r="AQ198" s="57">
        <v>4.0513813407359613</v>
      </c>
      <c r="AR198" s="57">
        <v>0</v>
      </c>
      <c r="AS198" s="57">
        <v>0</v>
      </c>
      <c r="AT198" s="18">
        <v>5.9590411054842004E-12</v>
      </c>
    </row>
    <row r="199" spans="8:46">
      <c r="H199" s="370">
        <v>260.00000713737069</v>
      </c>
      <c r="I199" s="25">
        <v>0.98480753242662122</v>
      </c>
      <c r="J199" s="26">
        <v>-8.86197561019418E-13</v>
      </c>
      <c r="K199" s="26">
        <v>0.17364942866531183</v>
      </c>
      <c r="L199" s="372">
        <v>1</v>
      </c>
      <c r="M199" s="76">
        <v>0.17364942866531183</v>
      </c>
      <c r="N199" s="164">
        <v>0</v>
      </c>
      <c r="O199" s="78">
        <v>0.9848075324275074</v>
      </c>
      <c r="P199" s="78">
        <v>0</v>
      </c>
      <c r="Q199" s="78">
        <v>0</v>
      </c>
      <c r="R199" s="116">
        <v>9.8803803989206131E-13</v>
      </c>
      <c r="AF199"/>
      <c r="AH199" s="467">
        <f t="shared" si="8"/>
        <v>3.2799464164911605</v>
      </c>
      <c r="AI199" s="467">
        <f t="shared" si="9"/>
        <v>4.8589160319157561</v>
      </c>
      <c r="AJ199" s="370">
        <v>260.00000713737069</v>
      </c>
      <c r="AK199" s="370">
        <v>0.98480753242662122</v>
      </c>
      <c r="AL199" s="57">
        <v>-8.86197561019418E-13</v>
      </c>
      <c r="AM199" s="57">
        <v>0.17364942866531183</v>
      </c>
      <c r="AN199" s="370">
        <v>1</v>
      </c>
      <c r="AO199" s="370">
        <v>0.72833779865091741</v>
      </c>
      <c r="AP199" s="57">
        <v>0</v>
      </c>
      <c r="AQ199" s="57">
        <v>4.1305782332606942</v>
      </c>
      <c r="AR199" s="57">
        <v>0</v>
      </c>
      <c r="AS199" s="57">
        <v>0</v>
      </c>
      <c r="AT199" s="18">
        <v>4.1441279507192728E-12</v>
      </c>
    </row>
    <row r="200" spans="8:46">
      <c r="H200" s="370">
        <v>265.00000727462782</v>
      </c>
      <c r="I200" s="25">
        <v>0.99619458524809734</v>
      </c>
      <c r="J200" s="26">
        <v>-4.4479101394371673E-13</v>
      </c>
      <c r="K200" s="26">
        <v>8.7157032546842025E-2</v>
      </c>
      <c r="L200" s="372">
        <v>1</v>
      </c>
      <c r="M200" s="76">
        <v>8.7157032546842025E-2</v>
      </c>
      <c r="N200" s="164">
        <v>0</v>
      </c>
      <c r="O200" s="78">
        <v>0.9961945852485421</v>
      </c>
      <c r="P200" s="78">
        <v>0</v>
      </c>
      <c r="Q200" s="78">
        <v>0</v>
      </c>
      <c r="R200" s="116">
        <v>5.4780904566202487E-13</v>
      </c>
      <c r="AF200"/>
      <c r="AH200" s="467">
        <f t="shared" si="8"/>
        <v>3.2799464164911605</v>
      </c>
      <c r="AI200" s="467">
        <f t="shared" si="9"/>
        <v>4.5439016905214773</v>
      </c>
      <c r="AJ200" s="370">
        <v>265.00000727462782</v>
      </c>
      <c r="AK200" s="370">
        <v>0.99619458524809734</v>
      </c>
      <c r="AL200" s="57">
        <v>-4.4479101394371673E-13</v>
      </c>
      <c r="AM200" s="57">
        <v>8.7157032546842025E-2</v>
      </c>
      <c r="AN200" s="370">
        <v>1</v>
      </c>
      <c r="AO200" s="370">
        <v>0.36556274161121949</v>
      </c>
      <c r="AP200" s="57">
        <v>0</v>
      </c>
      <c r="AQ200" s="57">
        <v>4.1783389489079603</v>
      </c>
      <c r="AR200" s="57">
        <v>0</v>
      </c>
      <c r="AS200" s="57">
        <v>0</v>
      </c>
      <c r="AT200" s="18">
        <v>2.2976754802202308E-12</v>
      </c>
    </row>
    <row r="201" spans="8:46">
      <c r="H201" s="370">
        <v>270.00000741188495</v>
      </c>
      <c r="I201" s="25">
        <v>0.99999999999912981</v>
      </c>
      <c r="J201" s="26">
        <v>6.6150635267431547E-19</v>
      </c>
      <c r="K201" s="26">
        <v>1.3191549708323648E-6</v>
      </c>
      <c r="L201" s="372">
        <v>1</v>
      </c>
      <c r="M201" s="76">
        <v>1.3191549708323648E-6</v>
      </c>
      <c r="N201" s="164">
        <v>0</v>
      </c>
      <c r="O201" s="78">
        <v>0.99999999999912981</v>
      </c>
      <c r="P201" s="78">
        <v>1.0341221708363615E-13</v>
      </c>
      <c r="Q201" s="78">
        <v>0</v>
      </c>
      <c r="R201" s="116">
        <v>1.0341089407093081E-13</v>
      </c>
      <c r="AF201"/>
      <c r="AH201" s="467">
        <f t="shared" si="8"/>
        <v>3.2799464164911605</v>
      </c>
      <c r="AI201" s="467">
        <f t="shared" si="9"/>
        <v>4.1943055329289116</v>
      </c>
      <c r="AJ201" s="370">
        <v>270.00000741188495</v>
      </c>
      <c r="AK201" s="370">
        <v>0.99999999999912981</v>
      </c>
      <c r="AL201" s="57">
        <v>6.6150635267431547E-19</v>
      </c>
      <c r="AM201" s="57">
        <v>1.3191549708323648E-6</v>
      </c>
      <c r="AN201" s="370">
        <v>1</v>
      </c>
      <c r="AO201" s="370">
        <v>5.5329316941621882E-6</v>
      </c>
      <c r="AP201" s="57">
        <v>0</v>
      </c>
      <c r="AQ201" s="57">
        <v>4.1942999999963506</v>
      </c>
      <c r="AR201" s="57">
        <v>4.3374186211389511E-13</v>
      </c>
      <c r="AS201" s="57">
        <v>0</v>
      </c>
      <c r="AT201" s="18">
        <v>4.337363130017051E-13</v>
      </c>
    </row>
    <row r="202" spans="8:46">
      <c r="H202" s="370">
        <v>275.00000754914208</v>
      </c>
      <c r="I202" s="25">
        <v>0.99619481519189579</v>
      </c>
      <c r="J202" s="26">
        <v>4.4479233192195904E-13</v>
      </c>
      <c r="K202" s="26">
        <v>-8.7154404276460609E-2</v>
      </c>
      <c r="L202" s="372">
        <v>1</v>
      </c>
      <c r="M202" s="76">
        <v>0</v>
      </c>
      <c r="N202" s="164">
        <v>8.7154404276460609E-2</v>
      </c>
      <c r="O202" s="78">
        <v>0.99619481519145103</v>
      </c>
      <c r="P202" s="78">
        <v>5.478103874190211E-13</v>
      </c>
      <c r="Q202" s="78">
        <v>0</v>
      </c>
      <c r="R202" s="116">
        <v>0</v>
      </c>
      <c r="AF202"/>
      <c r="AH202" s="467">
        <f t="shared" si="8"/>
        <v>3.2799464164911605</v>
      </c>
      <c r="AI202" s="467">
        <f t="shared" si="9"/>
        <v>4.5438916312165594</v>
      </c>
      <c r="AJ202" s="370">
        <v>275.00000754914208</v>
      </c>
      <c r="AK202" s="370">
        <v>0.99619481519189579</v>
      </c>
      <c r="AL202" s="57">
        <v>4.4479233192195904E-13</v>
      </c>
      <c r="AM202" s="57">
        <v>-8.7154404276460609E-2</v>
      </c>
      <c r="AN202" s="370">
        <v>1</v>
      </c>
      <c r="AO202" s="370">
        <v>0</v>
      </c>
      <c r="AP202" s="57">
        <v>0.36555171785675872</v>
      </c>
      <c r="AQ202" s="57">
        <v>4.1783399133575028</v>
      </c>
      <c r="AR202" s="57">
        <v>2.2976811079516002E-12</v>
      </c>
      <c r="AS202" s="57">
        <v>0</v>
      </c>
      <c r="AT202" s="18">
        <v>0</v>
      </c>
    </row>
    <row r="203" spans="8:46">
      <c r="H203" s="370">
        <v>280.00000768639921</v>
      </c>
      <c r="I203" s="25">
        <v>0.98480799056420787</v>
      </c>
      <c r="J203" s="26">
        <v>8.861988639325864E-13</v>
      </c>
      <c r="K203" s="26">
        <v>-0.17364683043720402</v>
      </c>
      <c r="L203" s="372">
        <v>1</v>
      </c>
      <c r="M203" s="76">
        <v>0</v>
      </c>
      <c r="N203" s="164">
        <v>0.17364683043720402</v>
      </c>
      <c r="O203" s="78">
        <v>0.98480799056332169</v>
      </c>
      <c r="P203" s="78">
        <v>9.8803939018176675E-13</v>
      </c>
      <c r="Q203" s="78">
        <v>0</v>
      </c>
      <c r="R203" s="116">
        <v>0</v>
      </c>
      <c r="AF203"/>
      <c r="AH203" s="467">
        <f t="shared" si="8"/>
        <v>3.2799464164911605</v>
      </c>
      <c r="AI203" s="467">
        <f t="shared" si="9"/>
        <v>4.8589070557266494</v>
      </c>
      <c r="AJ203" s="370">
        <v>280.00000768639921</v>
      </c>
      <c r="AK203" s="370">
        <v>0.98480799056420787</v>
      </c>
      <c r="AL203" s="57">
        <v>8.861988639325864E-13</v>
      </c>
      <c r="AM203" s="57">
        <v>-0.17364683043720402</v>
      </c>
      <c r="AN203" s="370">
        <v>1</v>
      </c>
      <c r="AO203" s="370">
        <v>0</v>
      </c>
      <c r="AP203" s="57">
        <v>0.72832690090276486</v>
      </c>
      <c r="AQ203" s="57">
        <v>4.1305801548197403</v>
      </c>
      <c r="AR203" s="57">
        <v>4.144133614239384E-12</v>
      </c>
      <c r="AS203" s="57">
        <v>0</v>
      </c>
      <c r="AT203" s="18">
        <v>0</v>
      </c>
    </row>
    <row r="204" spans="8:46">
      <c r="H204" s="370">
        <v>285.00000782365635</v>
      </c>
      <c r="I204" s="25">
        <v>0.96592618667854802</v>
      </c>
      <c r="J204" s="26">
        <v>1.3208608871163998E-12</v>
      </c>
      <c r="K204" s="26">
        <v>-0.25881770010692651</v>
      </c>
      <c r="L204" s="372">
        <v>1</v>
      </c>
      <c r="M204" s="76">
        <v>0</v>
      </c>
      <c r="N204" s="164">
        <v>0.25881770010692651</v>
      </c>
      <c r="O204" s="78">
        <v>0.96592618667722718</v>
      </c>
      <c r="P204" s="78">
        <v>1.4207488166536124E-12</v>
      </c>
      <c r="Q204" s="78">
        <v>0</v>
      </c>
      <c r="R204" s="116">
        <v>0</v>
      </c>
      <c r="AF204"/>
      <c r="AH204" s="467">
        <f t="shared" si="8"/>
        <v>3.2799464164911605</v>
      </c>
      <c r="AI204" s="467">
        <f t="shared" si="9"/>
        <v>5.136943284344734</v>
      </c>
      <c r="AJ204" s="370">
        <v>285.00000782365635</v>
      </c>
      <c r="AK204" s="370">
        <v>0.96592618667854802</v>
      </c>
      <c r="AL204" s="57">
        <v>1.3208608871163998E-12</v>
      </c>
      <c r="AM204" s="57">
        <v>-0.25881770010692651</v>
      </c>
      <c r="AN204" s="370">
        <v>1</v>
      </c>
      <c r="AO204" s="370">
        <v>0</v>
      </c>
      <c r="AP204" s="57">
        <v>1.085559079558482</v>
      </c>
      <c r="AQ204" s="57">
        <v>4.0513842047802937</v>
      </c>
      <c r="AR204" s="57">
        <v>5.9590467616902466E-12</v>
      </c>
      <c r="AS204" s="57">
        <v>0</v>
      </c>
      <c r="AT204" s="18">
        <v>0</v>
      </c>
    </row>
    <row r="205" spans="8:46">
      <c r="H205" s="370">
        <v>290.00000796091348</v>
      </c>
      <c r="I205" s="25">
        <v>0.93969310538322759</v>
      </c>
      <c r="J205" s="26">
        <v>1.7454703608390034E-12</v>
      </c>
      <c r="K205" s="26">
        <v>-0.34201881190254191</v>
      </c>
      <c r="L205" s="372">
        <v>1</v>
      </c>
      <c r="M205" s="76">
        <v>0</v>
      </c>
      <c r="N205" s="164">
        <v>0.34201881190254191</v>
      </c>
      <c r="O205" s="78">
        <v>0.9396931053814821</v>
      </c>
      <c r="P205" s="78">
        <v>1.842645486631835E-12</v>
      </c>
      <c r="Q205" s="78">
        <v>0</v>
      </c>
      <c r="R205" s="116">
        <v>0</v>
      </c>
      <c r="AF205"/>
      <c r="AH205" s="467">
        <f t="shared" si="8"/>
        <v>3.2799464164911605</v>
      </c>
      <c r="AI205" s="467">
        <f t="shared" si="9"/>
        <v>5.3758842946721108</v>
      </c>
      <c r="AJ205" s="370">
        <v>290.00000796091348</v>
      </c>
      <c r="AK205" s="370">
        <v>0.93969310538322759</v>
      </c>
      <c r="AL205" s="57">
        <v>1.7454703608390034E-12</v>
      </c>
      <c r="AM205" s="57">
        <v>-0.34201881190254191</v>
      </c>
      <c r="AN205" s="370">
        <v>1</v>
      </c>
      <c r="AO205" s="370">
        <v>0</v>
      </c>
      <c r="AP205" s="57">
        <v>1.4345295027628315</v>
      </c>
      <c r="AQ205" s="57">
        <v>3.9413547919015506</v>
      </c>
      <c r="AR205" s="57">
        <v>7.7286079645799062E-12</v>
      </c>
      <c r="AS205" s="57">
        <v>0</v>
      </c>
      <c r="AT205" s="18">
        <v>0</v>
      </c>
    </row>
    <row r="206" spans="8:46">
      <c r="H206" s="370">
        <v>295.00000809817061</v>
      </c>
      <c r="I206" s="25">
        <v>0.90630839615516523</v>
      </c>
      <c r="J206" s="26">
        <v>2.156795750441503E-12</v>
      </c>
      <c r="K206" s="26">
        <v>-0.42261695547937062</v>
      </c>
      <c r="L206" s="372">
        <v>1</v>
      </c>
      <c r="M206" s="76">
        <v>0</v>
      </c>
      <c r="N206" s="164">
        <v>0.42261695547937062</v>
      </c>
      <c r="O206" s="78">
        <v>0.9063083961530084</v>
      </c>
      <c r="P206" s="78">
        <v>2.2505185115205199E-12</v>
      </c>
      <c r="Q206" s="78">
        <v>0</v>
      </c>
      <c r="R206" s="116">
        <v>0</v>
      </c>
      <c r="AF206"/>
      <c r="AH206" s="467">
        <f t="shared" si="8"/>
        <v>3.2799464164911605</v>
      </c>
      <c r="AI206" s="467">
        <f t="shared" si="9"/>
        <v>5.573911602361127</v>
      </c>
      <c r="AJ206" s="370">
        <v>295.00000809817061</v>
      </c>
      <c r="AK206" s="370">
        <v>0.90630839615516523</v>
      </c>
      <c r="AL206" s="57">
        <v>2.156795750441503E-12</v>
      </c>
      <c r="AM206" s="57">
        <v>-0.42261695547937062</v>
      </c>
      <c r="AN206" s="370">
        <v>1</v>
      </c>
      <c r="AO206" s="370">
        <v>0</v>
      </c>
      <c r="AP206" s="57">
        <v>1.7725822963671243</v>
      </c>
      <c r="AQ206" s="57">
        <v>3.801329305984563</v>
      </c>
      <c r="AR206" s="57">
        <v>9.439349792870517E-12</v>
      </c>
      <c r="AS206" s="57">
        <v>0</v>
      </c>
      <c r="AT206" s="18">
        <v>0</v>
      </c>
    </row>
    <row r="207" spans="8:46">
      <c r="H207" s="370">
        <v>300.00000823542774</v>
      </c>
      <c r="I207" s="25">
        <v>0.8660261366476647</v>
      </c>
      <c r="J207" s="26">
        <v>2.5517066211718658E-12</v>
      </c>
      <c r="K207" s="26">
        <v>-0.49999873064150918</v>
      </c>
      <c r="L207" s="372">
        <v>1</v>
      </c>
      <c r="M207" s="76">
        <v>0</v>
      </c>
      <c r="N207" s="164">
        <v>0.49999873064150918</v>
      </c>
      <c r="O207" s="78">
        <v>0.86602613664511296</v>
      </c>
      <c r="P207" s="78">
        <v>2.6412637311329999E-12</v>
      </c>
      <c r="Q207" s="78">
        <v>0</v>
      </c>
      <c r="R207" s="116">
        <v>0</v>
      </c>
      <c r="AF207"/>
      <c r="AH207" s="467">
        <f t="shared" si="8"/>
        <v>3.2799464164911605</v>
      </c>
      <c r="AI207" s="467">
        <f t="shared" si="9"/>
        <v>5.7295181008713572</v>
      </c>
      <c r="AJ207" s="370">
        <v>300.00000823542774</v>
      </c>
      <c r="AK207" s="370">
        <v>0.8660261366476647</v>
      </c>
      <c r="AL207" s="57">
        <v>2.5517066211718658E-12</v>
      </c>
      <c r="AM207" s="57">
        <v>-0.49999873064150918</v>
      </c>
      <c r="AN207" s="370">
        <v>1</v>
      </c>
      <c r="AO207" s="370">
        <v>0</v>
      </c>
      <c r="AP207" s="57">
        <v>2.0971446759296821</v>
      </c>
      <c r="AQ207" s="57">
        <v>3.6323734249305972</v>
      </c>
      <c r="AR207" s="57">
        <v>1.1078252467491141E-11</v>
      </c>
      <c r="AS207" s="57">
        <v>0</v>
      </c>
      <c r="AT207" s="18">
        <v>0</v>
      </c>
    </row>
    <row r="208" spans="8:46">
      <c r="H208" s="370">
        <v>305.00000837268482</v>
      </c>
      <c r="I208" s="25">
        <v>0.81915289900714039</v>
      </c>
      <c r="J208" s="26">
        <v>2.9271974626848999E-12</v>
      </c>
      <c r="K208" s="26">
        <v>-0.57357521568509018</v>
      </c>
      <c r="L208" s="372">
        <v>1</v>
      </c>
      <c r="M208" s="76">
        <v>0</v>
      </c>
      <c r="N208" s="164">
        <v>0.57357521568509018</v>
      </c>
      <c r="O208" s="78">
        <v>0.81915289900421318</v>
      </c>
      <c r="P208" s="78">
        <v>3.0119073382266409E-12</v>
      </c>
      <c r="Q208" s="78">
        <v>0</v>
      </c>
      <c r="R208" s="116">
        <v>0</v>
      </c>
      <c r="AF208"/>
      <c r="AH208" s="467">
        <f t="shared" si="8"/>
        <v>3.2799464164911605</v>
      </c>
      <c r="AI208" s="467">
        <f t="shared" si="9"/>
        <v>5.8415195314539776</v>
      </c>
      <c r="AJ208" s="370">
        <v>305.00000837268482</v>
      </c>
      <c r="AK208" s="370">
        <v>0.81915289900714039</v>
      </c>
      <c r="AL208" s="57">
        <v>2.9271974626848999E-12</v>
      </c>
      <c r="AM208" s="57">
        <v>-0.57357521568509018</v>
      </c>
      <c r="AN208" s="370">
        <v>1</v>
      </c>
      <c r="AO208" s="370">
        <v>0</v>
      </c>
      <c r="AP208" s="57">
        <v>2.4057465271479739</v>
      </c>
      <c r="AQ208" s="57">
        <v>3.4357730042933712</v>
      </c>
      <c r="AR208" s="57">
        <v>1.2632842948724E-11</v>
      </c>
      <c r="AS208" s="57">
        <v>0</v>
      </c>
      <c r="AT208" s="18">
        <v>0</v>
      </c>
    </row>
    <row r="209" spans="2:46">
      <c r="H209" s="370">
        <v>310.00000850994195</v>
      </c>
      <c r="I209" s="25">
        <v>0.76604541667527393</v>
      </c>
      <c r="J209" s="26">
        <v>3.2804105627920183E-12</v>
      </c>
      <c r="K209" s="26">
        <v>-0.64278644944554164</v>
      </c>
      <c r="L209" s="372">
        <v>1</v>
      </c>
      <c r="M209" s="76">
        <v>0</v>
      </c>
      <c r="N209" s="164">
        <v>0.64278644944554164</v>
      </c>
      <c r="O209" s="78">
        <v>0.76604541667199355</v>
      </c>
      <c r="P209" s="78">
        <v>3.3596285109729865E-12</v>
      </c>
      <c r="Q209" s="78">
        <v>0</v>
      </c>
      <c r="R209" s="116">
        <v>0</v>
      </c>
      <c r="AF209"/>
      <c r="AH209" s="467">
        <f t="shared" si="8"/>
        <v>3.2799464164911605</v>
      </c>
      <c r="AI209" s="467">
        <f t="shared" si="9"/>
        <v>5.9090634960708686</v>
      </c>
      <c r="AJ209" s="370">
        <v>310.00000850994195</v>
      </c>
      <c r="AK209" s="370">
        <v>0.76604541667527393</v>
      </c>
      <c r="AL209" s="57">
        <v>3.2804105627920183E-12</v>
      </c>
      <c r="AM209" s="57">
        <v>-0.64278644944554164</v>
      </c>
      <c r="AN209" s="370">
        <v>1</v>
      </c>
      <c r="AO209" s="370">
        <v>0</v>
      </c>
      <c r="AP209" s="57">
        <v>2.6960392049094355</v>
      </c>
      <c r="AQ209" s="57">
        <v>3.2130242911473426</v>
      </c>
      <c r="AR209" s="57">
        <v>1.4091289863573998E-11</v>
      </c>
      <c r="AS209" s="57">
        <v>0</v>
      </c>
      <c r="AT209" s="18">
        <v>0</v>
      </c>
    </row>
    <row r="210" spans="2:46">
      <c r="H210" s="370">
        <v>315.00000864719908</v>
      </c>
      <c r="I210" s="25">
        <v>0.70710786943364135</v>
      </c>
      <c r="J210" s="26">
        <v>3.6086577563777221E-12</v>
      </c>
      <c r="K210" s="26">
        <v>-0.70710569293777892</v>
      </c>
      <c r="L210" s="372">
        <v>1</v>
      </c>
      <c r="M210" s="76">
        <v>0</v>
      </c>
      <c r="N210" s="164">
        <v>0.70710569293777892</v>
      </c>
      <c r="O210" s="78">
        <v>0.70710786943003268</v>
      </c>
      <c r="P210" s="78">
        <v>3.6817808811164838E-12</v>
      </c>
      <c r="Q210" s="78">
        <v>0</v>
      </c>
      <c r="R210" s="116">
        <v>0</v>
      </c>
      <c r="AF210"/>
      <c r="AH210" s="467">
        <f t="shared" si="8"/>
        <v>3.2799464164911605</v>
      </c>
      <c r="AI210" s="467">
        <f t="shared" si="9"/>
        <v>5.9316359446547553</v>
      </c>
      <c r="AJ210" s="370">
        <v>315.00000864719908</v>
      </c>
      <c r="AK210" s="370">
        <v>0.70710786943364135</v>
      </c>
      <c r="AL210" s="57">
        <v>3.6086577563777221E-12</v>
      </c>
      <c r="AM210" s="57">
        <v>-0.70710569293777892</v>
      </c>
      <c r="AN210" s="370">
        <v>1</v>
      </c>
      <c r="AO210" s="370">
        <v>0</v>
      </c>
      <c r="AP210" s="57">
        <v>2.965813407888926</v>
      </c>
      <c r="AQ210" s="57">
        <v>2.9658225367503861</v>
      </c>
      <c r="AR210" s="57">
        <v>1.544249354966687E-11</v>
      </c>
      <c r="AS210" s="57">
        <v>0</v>
      </c>
      <c r="AT210" s="18">
        <v>0</v>
      </c>
    </row>
    <row r="211" spans="2:46">
      <c r="H211" s="370">
        <v>320.00000878445621</v>
      </c>
      <c r="I211" s="25">
        <v>0.64278880735324539</v>
      </c>
      <c r="J211" s="26">
        <v>3.9094408839604118E-12</v>
      </c>
      <c r="K211" s="26">
        <v>-0.76604343815569131</v>
      </c>
      <c r="L211" s="372">
        <v>1</v>
      </c>
      <c r="M211" s="76">
        <v>0</v>
      </c>
      <c r="N211" s="164">
        <v>0.76604343815569131</v>
      </c>
      <c r="O211" s="78">
        <v>0.64278880734933597</v>
      </c>
      <c r="P211" s="78">
        <v>3.9759126744361315E-12</v>
      </c>
      <c r="Q211" s="78">
        <v>0</v>
      </c>
      <c r="R211" s="116">
        <v>0</v>
      </c>
      <c r="AF211"/>
      <c r="AH211" s="467">
        <f t="shared" si="8"/>
        <v>3.2799464164911605</v>
      </c>
      <c r="AI211" s="467">
        <f t="shared" si="9"/>
        <v>5.9090650873384121</v>
      </c>
      <c r="AJ211" s="370">
        <v>320.00000878445621</v>
      </c>
      <c r="AK211" s="370">
        <v>0.64278880735324539</v>
      </c>
      <c r="AL211" s="57">
        <v>3.9094408839604118E-12</v>
      </c>
      <c r="AM211" s="57">
        <v>-0.76604343815569131</v>
      </c>
      <c r="AN211" s="370">
        <v>1</v>
      </c>
      <c r="AO211" s="370">
        <v>0</v>
      </c>
      <c r="AP211" s="57">
        <v>3.2130159926564161</v>
      </c>
      <c r="AQ211" s="57">
        <v>2.6960490946653199</v>
      </c>
      <c r="AR211" s="57">
        <v>1.6676170530387466E-11</v>
      </c>
      <c r="AS211" s="57">
        <v>0</v>
      </c>
      <c r="AT211" s="18">
        <v>0</v>
      </c>
    </row>
    <row r="212" spans="2:46">
      <c r="H212" s="370">
        <v>325.00000892171334</v>
      </c>
      <c r="I212" s="25">
        <v>0.57357773705954374</v>
      </c>
      <c r="J212" s="26">
        <v>4.1804708041955173E-12</v>
      </c>
      <c r="K212" s="26">
        <v>-0.81915113352155766</v>
      </c>
      <c r="L212" s="372">
        <v>1</v>
      </c>
      <c r="M212" s="76">
        <v>0</v>
      </c>
      <c r="N212" s="164">
        <v>0.81915113352155766</v>
      </c>
      <c r="O212" s="78">
        <v>0.5735777370553633</v>
      </c>
      <c r="P212" s="78">
        <v>4.2397853702289622E-12</v>
      </c>
      <c r="Q212" s="78">
        <v>0</v>
      </c>
      <c r="R212" s="116">
        <v>0</v>
      </c>
      <c r="AF212"/>
      <c r="AH212" s="467">
        <f t="shared" ref="AH212:AH218" si="10">AVERAGE($AI$147:$AI$218)</f>
        <v>3.2799464164911605</v>
      </c>
      <c r="AI212" s="467">
        <f t="shared" ref="AI212:AI218" si="11">SUM(AO212:AZ212)</f>
        <v>5.8415227018785636</v>
      </c>
      <c r="AJ212" s="370">
        <v>325.00000892171334</v>
      </c>
      <c r="AK212" s="370">
        <v>0.57357773705954374</v>
      </c>
      <c r="AL212" s="57">
        <v>4.1804708041955173E-12</v>
      </c>
      <c r="AM212" s="57">
        <v>-0.81915113352155766</v>
      </c>
      <c r="AN212" s="370">
        <v>1</v>
      </c>
      <c r="AO212" s="370">
        <v>0</v>
      </c>
      <c r="AP212" s="57">
        <v>3.4357655993294696</v>
      </c>
      <c r="AQ212" s="57">
        <v>2.4057571025313105</v>
      </c>
      <c r="AR212" s="57">
        <v>1.7782931778351337E-11</v>
      </c>
      <c r="AS212" s="57">
        <v>0</v>
      </c>
      <c r="AT212" s="18">
        <v>0</v>
      </c>
    </row>
    <row r="213" spans="2:46">
      <c r="H213" s="370">
        <v>330.00000905897048</v>
      </c>
      <c r="I213" s="25">
        <v>0.50000139629354134</v>
      </c>
      <c r="J213" s="26">
        <v>4.4196848156243132E-12</v>
      </c>
      <c r="K213" s="26">
        <v>-0.86602459763248585</v>
      </c>
      <c r="L213" s="372">
        <v>1</v>
      </c>
      <c r="M213" s="76">
        <v>0</v>
      </c>
      <c r="N213" s="164">
        <v>0.86602459763248585</v>
      </c>
      <c r="O213" s="78">
        <v>0.50000139628912166</v>
      </c>
      <c r="P213" s="78">
        <v>4.4713907378054304E-12</v>
      </c>
      <c r="Q213" s="78">
        <v>0</v>
      </c>
      <c r="R213" s="116">
        <v>0</v>
      </c>
      <c r="AF213"/>
      <c r="AH213" s="467">
        <f t="shared" si="10"/>
        <v>3.2799464164911605</v>
      </c>
      <c r="AI213" s="467">
        <f t="shared" si="11"/>
        <v>5.7295228263241533</v>
      </c>
      <c r="AJ213" s="370">
        <v>330.00000905897048</v>
      </c>
      <c r="AK213" s="370">
        <v>0.50000139629354134</v>
      </c>
      <c r="AL213" s="57">
        <v>4.4196848156243132E-12</v>
      </c>
      <c r="AM213" s="57">
        <v>-0.86602459763248585</v>
      </c>
      <c r="AN213" s="370">
        <v>1</v>
      </c>
      <c r="AO213" s="370">
        <v>0</v>
      </c>
      <c r="AP213" s="57">
        <v>3.6323669698499352</v>
      </c>
      <c r="AQ213" s="57">
        <v>2.0971558564554629</v>
      </c>
      <c r="AR213" s="57">
        <v>1.8754354171577318E-11</v>
      </c>
      <c r="AS213" s="57">
        <v>0</v>
      </c>
      <c r="AT213" s="18">
        <v>0</v>
      </c>
    </row>
    <row r="214" spans="2:46">
      <c r="H214" s="370">
        <v>335.00000919622761</v>
      </c>
      <c r="I214" s="25">
        <v>0.42261974512177131</v>
      </c>
      <c r="J214" s="26">
        <v>4.6252623550783685E-12</v>
      </c>
      <c r="K214" s="26">
        <v>-0.90630709532321829</v>
      </c>
      <c r="L214" s="372">
        <v>1</v>
      </c>
      <c r="M214" s="76">
        <v>0</v>
      </c>
      <c r="N214" s="164">
        <v>0.90630709532321829</v>
      </c>
      <c r="O214" s="78">
        <v>0.42261974511714606</v>
      </c>
      <c r="P214" s="78">
        <v>4.668966120338646E-12</v>
      </c>
      <c r="Q214" s="78">
        <v>0</v>
      </c>
      <c r="R214" s="116">
        <v>0</v>
      </c>
      <c r="AF214"/>
      <c r="AH214" s="467">
        <f t="shared" si="10"/>
        <v>3.2799464164911605</v>
      </c>
      <c r="AI214" s="467">
        <f t="shared" si="11"/>
        <v>5.5739178468786035</v>
      </c>
      <c r="AJ214" s="370">
        <v>335.00000919622761</v>
      </c>
      <c r="AK214" s="370">
        <v>0.42261974512177131</v>
      </c>
      <c r="AL214" s="57">
        <v>4.6252623550783685E-12</v>
      </c>
      <c r="AM214" s="57">
        <v>-0.90630709532321829</v>
      </c>
      <c r="AN214" s="370">
        <v>1</v>
      </c>
      <c r="AO214" s="370">
        <v>0</v>
      </c>
      <c r="AP214" s="57">
        <v>3.8013238499141746</v>
      </c>
      <c r="AQ214" s="57">
        <v>1.7725939969448457</v>
      </c>
      <c r="AR214" s="57">
        <v>1.9583044598536383E-11</v>
      </c>
      <c r="AS214" s="57">
        <v>0</v>
      </c>
      <c r="AT214" s="18">
        <v>0</v>
      </c>
    </row>
    <row r="215" spans="2:46">
      <c r="H215" s="370">
        <v>340.00000933348474</v>
      </c>
      <c r="I215" s="25">
        <v>0.34202170430445988</v>
      </c>
      <c r="J215" s="26">
        <v>4.7956388532653133E-12</v>
      </c>
      <c r="K215" s="26">
        <v>-0.93969205263462374</v>
      </c>
      <c r="L215" s="372">
        <v>1</v>
      </c>
      <c r="M215" s="76">
        <v>0</v>
      </c>
      <c r="N215" s="164">
        <v>0.93969205263462374</v>
      </c>
      <c r="O215" s="78">
        <v>0.34202170429966428</v>
      </c>
      <c r="P215" s="78">
        <v>4.8310078497481659E-12</v>
      </c>
      <c r="Q215" s="78">
        <v>0</v>
      </c>
      <c r="R215" s="116">
        <v>0</v>
      </c>
      <c r="AF215"/>
      <c r="AH215" s="467">
        <f t="shared" si="10"/>
        <v>3.2799464164911605</v>
      </c>
      <c r="AI215" s="467">
        <f t="shared" si="11"/>
        <v>5.3758920107297472</v>
      </c>
      <c r="AJ215" s="370">
        <v>340.00000933348474</v>
      </c>
      <c r="AK215" s="370">
        <v>0.34202170430445988</v>
      </c>
      <c r="AL215" s="57">
        <v>4.7956388532653133E-12</v>
      </c>
      <c r="AM215" s="57">
        <v>-0.93969205263462374</v>
      </c>
      <c r="AN215" s="370">
        <v>1</v>
      </c>
      <c r="AO215" s="370">
        <v>0</v>
      </c>
      <c r="AP215" s="57">
        <v>3.9413503763654023</v>
      </c>
      <c r="AQ215" s="57">
        <v>1.434541634344082</v>
      </c>
      <c r="AR215" s="57">
        <v>2.0262696224198731E-11</v>
      </c>
      <c r="AS215" s="57">
        <v>0</v>
      </c>
      <c r="AT215" s="18">
        <v>0</v>
      </c>
    </row>
    <row r="216" spans="2:46">
      <c r="B216" s="2"/>
      <c r="C216" s="2"/>
      <c r="D216" s="2"/>
      <c r="G216" s="2"/>
      <c r="H216" s="370">
        <v>345.00000947074187</v>
      </c>
      <c r="I216" s="25">
        <v>0.258820673255449</v>
      </c>
      <c r="J216" s="26">
        <v>4.9295176420865178E-12</v>
      </c>
      <c r="K216" s="26">
        <v>-0.96592539002533528</v>
      </c>
      <c r="L216" s="372">
        <v>1</v>
      </c>
      <c r="M216" s="76">
        <v>0</v>
      </c>
      <c r="N216" s="164">
        <v>0.96592539002533528</v>
      </c>
      <c r="O216" s="78">
        <v>0.2588206732505195</v>
      </c>
      <c r="P216" s="78">
        <v>4.9562826905229371E-12</v>
      </c>
      <c r="Q216" s="78">
        <v>0</v>
      </c>
      <c r="R216" s="116">
        <v>0</v>
      </c>
      <c r="AF216"/>
      <c r="AH216" s="467">
        <f t="shared" si="10"/>
        <v>3.2799464164911605</v>
      </c>
      <c r="AI216" s="467">
        <f t="shared" si="11"/>
        <v>5.1369524132187054</v>
      </c>
      <c r="AJ216" s="370">
        <v>345.00000947074187</v>
      </c>
      <c r="AK216" s="370">
        <v>0.258820673255449</v>
      </c>
      <c r="AL216" s="57">
        <v>4.9295176420865178E-12</v>
      </c>
      <c r="AM216" s="57">
        <v>-0.96592539002533528</v>
      </c>
      <c r="AN216" s="370">
        <v>1</v>
      </c>
      <c r="AO216" s="370">
        <v>0</v>
      </c>
      <c r="AP216" s="57">
        <v>4.0513808633832635</v>
      </c>
      <c r="AQ216" s="57">
        <v>1.0855715498146539</v>
      </c>
      <c r="AR216" s="57">
        <v>2.0788136488860356E-11</v>
      </c>
      <c r="AS216" s="57">
        <v>0</v>
      </c>
      <c r="AT216" s="18">
        <v>0</v>
      </c>
    </row>
    <row r="217" spans="2:46">
      <c r="B217" s="2"/>
      <c r="C217" s="2"/>
      <c r="D217" s="2"/>
      <c r="G217" s="2"/>
      <c r="H217" s="370">
        <v>350.000009607999</v>
      </c>
      <c r="I217" s="25">
        <v>0.17364986170488816</v>
      </c>
      <c r="J217" s="26">
        <v>5.0258798230648157E-12</v>
      </c>
      <c r="K217" s="26">
        <v>-0.98480745606939502</v>
      </c>
      <c r="L217" s="372">
        <v>1</v>
      </c>
      <c r="M217" s="76">
        <v>0</v>
      </c>
      <c r="N217" s="164">
        <v>0.98480745606939502</v>
      </c>
      <c r="O217" s="78">
        <v>0.1736498616998623</v>
      </c>
      <c r="P217" s="78">
        <v>5.0438372253889943E-12</v>
      </c>
      <c r="Q217" s="78">
        <v>0</v>
      </c>
      <c r="R217" s="116">
        <v>0</v>
      </c>
      <c r="AF217"/>
      <c r="AH217" s="467">
        <f t="shared" si="10"/>
        <v>3.2799464164911605</v>
      </c>
      <c r="AI217" s="467">
        <f t="shared" si="11"/>
        <v>4.8589175279407515</v>
      </c>
      <c r="AJ217" s="370">
        <v>350.000009607999</v>
      </c>
      <c r="AK217" s="370">
        <v>0.17364986170488816</v>
      </c>
      <c r="AL217" s="57">
        <v>5.0258798230648157E-12</v>
      </c>
      <c r="AM217" s="57">
        <v>-0.98480745606939502</v>
      </c>
      <c r="AN217" s="370">
        <v>1</v>
      </c>
      <c r="AO217" s="370">
        <v>0</v>
      </c>
      <c r="AP217" s="57">
        <v>4.1305779129918632</v>
      </c>
      <c r="AQ217" s="57">
        <v>0.72833961492773247</v>
      </c>
      <c r="AR217" s="57">
        <v>2.1155366474449058E-11</v>
      </c>
      <c r="AS217" s="57">
        <v>0</v>
      </c>
      <c r="AT217" s="18">
        <v>0</v>
      </c>
    </row>
    <row r="218" spans="2:46" ht="13.5" thickBot="1">
      <c r="B218" s="2"/>
      <c r="C218" s="2"/>
      <c r="D218" s="2"/>
      <c r="G218" s="2"/>
      <c r="H218" s="165">
        <v>355.00000974525614</v>
      </c>
      <c r="I218" s="110">
        <v>8.7157470593541883E-2</v>
      </c>
      <c r="J218" s="111">
        <v>5.0839920217775677E-12</v>
      </c>
      <c r="K218" s="111">
        <v>-0.99619454692330855</v>
      </c>
      <c r="L218" s="373">
        <v>1</v>
      </c>
      <c r="M218" s="117">
        <v>0</v>
      </c>
      <c r="N218" s="119">
        <v>0.99619454692330855</v>
      </c>
      <c r="O218" s="118">
        <v>8.7157470588457894E-2</v>
      </c>
      <c r="P218" s="118">
        <v>5.0930051113913093E-12</v>
      </c>
      <c r="Q218" s="118">
        <v>0</v>
      </c>
      <c r="R218" s="119">
        <v>0</v>
      </c>
      <c r="AF218"/>
      <c r="AH218" s="467">
        <f t="shared" si="10"/>
        <v>3.2799464164911605</v>
      </c>
      <c r="AI218" s="467">
        <f t="shared" si="11"/>
        <v>4.5439033670709632</v>
      </c>
      <c r="AJ218" s="165">
        <v>355.00000974525614</v>
      </c>
      <c r="AK218" s="165">
        <v>8.7157470593541883E-2</v>
      </c>
      <c r="AL218" s="66">
        <v>5.0839920217775677E-12</v>
      </c>
      <c r="AM218" s="66">
        <v>-0.99619454692330855</v>
      </c>
      <c r="AN218" s="165">
        <v>1</v>
      </c>
      <c r="AO218" s="165">
        <v>0</v>
      </c>
      <c r="AP218" s="66">
        <v>4.178338788160433</v>
      </c>
      <c r="AQ218" s="66">
        <v>0.36556457888916893</v>
      </c>
      <c r="AR218" s="66">
        <v>2.1361591338708568E-11</v>
      </c>
      <c r="AS218" s="66">
        <v>0</v>
      </c>
      <c r="AT218" s="19">
        <v>0</v>
      </c>
    </row>
    <row r="219" spans="2:46">
      <c r="B219" s="2"/>
      <c r="C219" s="2"/>
      <c r="D219" s="2"/>
      <c r="E219" s="2"/>
      <c r="F219" s="12"/>
      <c r="G219" s="2"/>
      <c r="H219" s="2"/>
      <c r="I219" s="166"/>
      <c r="J219" s="166"/>
      <c r="K219" s="166"/>
      <c r="L219" s="20"/>
      <c r="M219" s="2"/>
      <c r="N219" s="2"/>
      <c r="O219" s="2"/>
      <c r="P219" s="2"/>
      <c r="Q219" s="2"/>
      <c r="R219" s="2"/>
      <c r="S219" s="2"/>
      <c r="T219" s="2"/>
      <c r="U219" s="2"/>
    </row>
    <row r="220" spans="2:46">
      <c r="B220" s="2"/>
      <c r="C220" s="2"/>
      <c r="D220" s="2"/>
      <c r="E220" s="2"/>
      <c r="F220" s="12"/>
      <c r="G220" s="2"/>
      <c r="H220" s="2"/>
      <c r="I220" s="137"/>
      <c r="J220" s="137" t="s">
        <v>230</v>
      </c>
      <c r="K220" s="137"/>
      <c r="L220" s="56"/>
      <c r="N220" s="12"/>
      <c r="O220" s="12"/>
      <c r="P220" s="2"/>
      <c r="Q220" s="2"/>
      <c r="R220" s="2"/>
      <c r="S220" s="2"/>
      <c r="T220" s="2"/>
      <c r="AF220"/>
    </row>
    <row r="221" spans="2:46" ht="13.5" thickBot="1">
      <c r="B221" s="2"/>
      <c r="C221" s="2"/>
      <c r="D221" s="2"/>
      <c r="E221" s="2"/>
      <c r="F221" s="2"/>
      <c r="G221" s="2"/>
      <c r="H221" s="102" t="s">
        <v>211</v>
      </c>
      <c r="I221" s="13" t="s">
        <v>290</v>
      </c>
      <c r="J221" s="13" t="s">
        <v>231</v>
      </c>
      <c r="K221" s="13" t="s">
        <v>232</v>
      </c>
      <c r="L221" s="103" t="s">
        <v>233</v>
      </c>
      <c r="N221" s="112" t="s">
        <v>211</v>
      </c>
      <c r="O221" s="13" t="s">
        <v>234</v>
      </c>
      <c r="P221" s="13" t="s">
        <v>235</v>
      </c>
      <c r="Q221" s="13" t="s">
        <v>283</v>
      </c>
      <c r="R221" s="13" t="s">
        <v>285</v>
      </c>
      <c r="S221" s="16" t="s">
        <v>284</v>
      </c>
      <c r="T221" s="16" t="s">
        <v>286</v>
      </c>
      <c r="AF221"/>
    </row>
    <row r="222" spans="2:46">
      <c r="B222" s="2"/>
      <c r="C222" s="2"/>
      <c r="D222" s="2"/>
      <c r="E222" s="2"/>
      <c r="F222" s="2"/>
      <c r="G222" s="2"/>
      <c r="H222" s="387">
        <v>0</v>
      </c>
      <c r="I222" s="104">
        <v>3.3261428448924448</v>
      </c>
      <c r="J222" s="114">
        <v>3.3261428448924448</v>
      </c>
      <c r="K222" s="114">
        <v>4.1786770413331329</v>
      </c>
      <c r="L222" s="115">
        <v>4.1786770873851857</v>
      </c>
      <c r="N222" s="369">
        <v>0</v>
      </c>
      <c r="O222" s="113">
        <v>2.4271696968489548E-2</v>
      </c>
      <c r="P222" s="114">
        <v>0.32258806626847319</v>
      </c>
      <c r="Q222" s="114">
        <v>0.22307774698461635</v>
      </c>
      <c r="R222" s="114">
        <v>1.647757353678563E-12</v>
      </c>
      <c r="S222" s="114">
        <v>0.22307749702277821</v>
      </c>
      <c r="T222" s="115">
        <v>1.2532463054889886E-13</v>
      </c>
      <c r="AF222"/>
    </row>
    <row r="223" spans="2:46">
      <c r="B223" s="2"/>
      <c r="C223" s="2"/>
      <c r="D223" s="2"/>
      <c r="E223" s="2"/>
      <c r="F223" s="2"/>
      <c r="G223" s="2"/>
      <c r="H223" s="388">
        <v>5.0000001372571337</v>
      </c>
      <c r="I223" s="108">
        <v>3.5025390382161414</v>
      </c>
      <c r="J223" s="78">
        <v>3.5025390382161414</v>
      </c>
      <c r="K223" s="78">
        <v>4.2734084019477594</v>
      </c>
      <c r="L223" s="116">
        <v>4.2734083380622589</v>
      </c>
      <c r="N223" s="370">
        <v>5.0000001372571337</v>
      </c>
      <c r="O223" s="77">
        <v>2.4656648093085088E-2</v>
      </c>
      <c r="P223" s="78">
        <v>0.32213303093992746</v>
      </c>
      <c r="Q223" s="78">
        <v>0.22747677773423447</v>
      </c>
      <c r="R223" s="78">
        <v>0</v>
      </c>
      <c r="S223" s="78">
        <v>0.21787552104555452</v>
      </c>
      <c r="T223" s="116">
        <v>4.2929199312378118E-2</v>
      </c>
      <c r="AF223"/>
    </row>
    <row r="224" spans="2:46">
      <c r="B224" s="2"/>
      <c r="C224" s="2"/>
      <c r="D224" s="2"/>
      <c r="E224" s="2"/>
      <c r="F224" s="2"/>
      <c r="G224" s="2"/>
      <c r="H224" s="388">
        <v>10.000000274514267</v>
      </c>
      <c r="I224" s="108">
        <v>3.6576533789778742</v>
      </c>
      <c r="J224" s="78">
        <v>3.6576533789778742</v>
      </c>
      <c r="K224" s="78">
        <v>4.2657608998651364</v>
      </c>
      <c r="L224" s="116">
        <v>4.2657608390007606</v>
      </c>
      <c r="N224" s="370">
        <v>10.000000274514267</v>
      </c>
      <c r="O224" s="77">
        <v>2.4367553460842083E-2</v>
      </c>
      <c r="P224" s="78">
        <v>0.31987518199453752</v>
      </c>
      <c r="Q224" s="78">
        <v>0.21770406351206809</v>
      </c>
      <c r="R224" s="78">
        <v>0</v>
      </c>
      <c r="S224" s="78">
        <v>0.22457487266918919</v>
      </c>
      <c r="T224" s="116">
        <v>8.5531681480182267E-2</v>
      </c>
      <c r="AF224"/>
    </row>
    <row r="225" spans="2:32">
      <c r="B225" s="2"/>
      <c r="C225" s="2"/>
      <c r="D225" s="2"/>
      <c r="E225" s="2"/>
      <c r="F225" s="2"/>
      <c r="G225" s="2"/>
      <c r="H225" s="388">
        <v>15.000000411771399</v>
      </c>
      <c r="I225" s="108">
        <v>3.7940746926104354</v>
      </c>
      <c r="J225" s="78">
        <v>3.7940746926104354</v>
      </c>
      <c r="K225" s="78">
        <v>4.155717726899125</v>
      </c>
      <c r="L225" s="116">
        <v>4.1557176893927901</v>
      </c>
      <c r="N225" s="370">
        <v>15.000000411771399</v>
      </c>
      <c r="O225" s="77">
        <v>2.3878156131426503E-2</v>
      </c>
      <c r="P225" s="78">
        <v>0.31608950293102417</v>
      </c>
      <c r="Q225" s="78">
        <v>0.21965676589634889</v>
      </c>
      <c r="R225" s="78">
        <v>0</v>
      </c>
      <c r="S225" s="78">
        <v>0.21747111906141572</v>
      </c>
      <c r="T225" s="116">
        <v>0.12748321587069267</v>
      </c>
      <c r="AF225"/>
    </row>
    <row r="226" spans="2:32">
      <c r="B226" s="2"/>
      <c r="C226" s="2"/>
      <c r="D226" s="2"/>
      <c r="E226" s="2"/>
      <c r="F226" s="2"/>
      <c r="G226" s="2"/>
      <c r="H226" s="388">
        <v>20.000000549028535</v>
      </c>
      <c r="I226" s="108">
        <v>3.9171922884246753</v>
      </c>
      <c r="J226" s="78">
        <v>3.9171922884246753</v>
      </c>
      <c r="K226" s="78">
        <v>4.1353132733238809</v>
      </c>
      <c r="L226" s="116">
        <v>4.1353132327127584</v>
      </c>
      <c r="N226" s="370">
        <v>20.000000549028535</v>
      </c>
      <c r="O226" s="77">
        <v>2.3880148316849592E-2</v>
      </c>
      <c r="P226" s="78">
        <v>0.31127265813008126</v>
      </c>
      <c r="Q226" s="78">
        <v>0.2204235492976073</v>
      </c>
      <c r="R226" s="78">
        <v>0</v>
      </c>
      <c r="S226" s="78">
        <v>0.20989142843791406</v>
      </c>
      <c r="T226" s="116">
        <v>0.16846452595861439</v>
      </c>
      <c r="AF226"/>
    </row>
    <row r="227" spans="2:32">
      <c r="H227" s="388">
        <v>25.000000686285667</v>
      </c>
      <c r="I227" s="108">
        <v>4.0178090923095064</v>
      </c>
      <c r="J227" s="78">
        <v>4.0178090923095064</v>
      </c>
      <c r="K227" s="78">
        <v>4.1068555303150278</v>
      </c>
      <c r="L227" s="116">
        <v>4.1068555773086288</v>
      </c>
      <c r="N227" s="370">
        <v>25.000000686285667</v>
      </c>
      <c r="O227" s="77">
        <v>2.3233332819464877E-2</v>
      </c>
      <c r="P227" s="78">
        <v>0.30492221645361162</v>
      </c>
      <c r="Q227" s="78">
        <v>0.20747041101210975</v>
      </c>
      <c r="R227" s="78">
        <v>0</v>
      </c>
      <c r="S227" s="78">
        <v>0.21413156893764157</v>
      </c>
      <c r="T227" s="116">
        <v>0.20816371921183499</v>
      </c>
      <c r="AF227"/>
    </row>
    <row r="228" spans="2:32">
      <c r="H228" s="388">
        <v>30.000000823542798</v>
      </c>
      <c r="I228" s="108">
        <v>4.0978247932853442</v>
      </c>
      <c r="J228" s="78">
        <v>4.0978247932853442</v>
      </c>
      <c r="K228" s="78">
        <v>4.0710685919512519</v>
      </c>
      <c r="L228" s="116">
        <v>4.0710686746185862</v>
      </c>
      <c r="N228" s="370">
        <v>30.000000823542798</v>
      </c>
      <c r="O228" s="77">
        <v>2.2371615536873609E-2</v>
      </c>
      <c r="P228" s="78">
        <v>0.29724563969674489</v>
      </c>
      <c r="Q228" s="78">
        <v>0.20562814423935688</v>
      </c>
      <c r="R228" s="78">
        <v>0</v>
      </c>
      <c r="S228" s="78">
        <v>0.20547443610557825</v>
      </c>
      <c r="T228" s="116">
        <v>0.24627866078206526</v>
      </c>
      <c r="AF228"/>
    </row>
    <row r="229" spans="2:32">
      <c r="H229" s="388">
        <v>35.00000096079993</v>
      </c>
      <c r="I229" s="108">
        <v>4.261136479502742</v>
      </c>
      <c r="J229" s="78">
        <v>4.261136479502742</v>
      </c>
      <c r="K229" s="78">
        <v>4.0251888443403638</v>
      </c>
      <c r="L229" s="116">
        <v>4.0251889492695563</v>
      </c>
      <c r="N229" s="370">
        <v>35.00000096079993</v>
      </c>
      <c r="O229" s="77">
        <v>2.7074261116266783E-2</v>
      </c>
      <c r="P229" s="78">
        <v>0.28896958759607849</v>
      </c>
      <c r="Q229" s="78">
        <v>0.20261902113680527</v>
      </c>
      <c r="R229" s="78">
        <v>0</v>
      </c>
      <c r="S229" s="78">
        <v>0.20847472482409365</v>
      </c>
      <c r="T229" s="116">
        <v>0.28879747899882091</v>
      </c>
      <c r="AF229"/>
    </row>
    <row r="230" spans="2:32">
      <c r="H230" s="388">
        <v>40.000001098057069</v>
      </c>
      <c r="I230" s="108">
        <v>4.3096411309355069</v>
      </c>
      <c r="J230" s="78">
        <v>4.3096411309355069</v>
      </c>
      <c r="K230" s="78">
        <v>3.9675811147188091</v>
      </c>
      <c r="L230" s="116">
        <v>3.967581228909375</v>
      </c>
      <c r="N230" s="370">
        <v>40.000001098057069</v>
      </c>
      <c r="O230" s="77">
        <v>2.6207318856952048E-2</v>
      </c>
      <c r="P230" s="78">
        <v>0.27971652772166494</v>
      </c>
      <c r="Q230" s="78">
        <v>0.19821998579975109</v>
      </c>
      <c r="R230" s="78">
        <v>0</v>
      </c>
      <c r="S230" s="78">
        <v>0.19971014762648059</v>
      </c>
      <c r="T230" s="116">
        <v>0.32364551477032399</v>
      </c>
      <c r="AF230"/>
    </row>
    <row r="231" spans="2:32">
      <c r="H231" s="370">
        <v>45.000001235314201</v>
      </c>
      <c r="I231" s="108">
        <v>4.3404704429590115</v>
      </c>
      <c r="J231" s="78">
        <v>4.3404704429590115</v>
      </c>
      <c r="K231" s="78">
        <v>3.8961389079727384</v>
      </c>
      <c r="L231" s="116">
        <v>3.8961390182622151</v>
      </c>
      <c r="N231" s="370">
        <v>45.000001235314201</v>
      </c>
      <c r="O231" s="77">
        <v>2.5275179868086049E-2</v>
      </c>
      <c r="P231" s="78">
        <v>0.26976760982914982</v>
      </c>
      <c r="Q231" s="78">
        <v>0.19256470052935434</v>
      </c>
      <c r="R231" s="78">
        <v>0</v>
      </c>
      <c r="S231" s="78">
        <v>0.19121187970918493</v>
      </c>
      <c r="T231" s="116">
        <v>0.35603041261650081</v>
      </c>
      <c r="AF231"/>
    </row>
    <row r="232" spans="2:32">
      <c r="H232" s="370">
        <v>50.000001372571333</v>
      </c>
      <c r="I232" s="108">
        <v>4.4547434580818202</v>
      </c>
      <c r="J232" s="78">
        <v>4.4547434580818202</v>
      </c>
      <c r="K232" s="78">
        <v>3.8086887591671124</v>
      </c>
      <c r="L232" s="116">
        <v>3.808688852322069</v>
      </c>
      <c r="N232" s="370">
        <v>50.000001372571333</v>
      </c>
      <c r="O232" s="77">
        <v>2.9420874020061234E-2</v>
      </c>
      <c r="P232" s="78">
        <v>0.25942512700114978</v>
      </c>
      <c r="Q232" s="78">
        <v>0.18582499813569539</v>
      </c>
      <c r="R232" s="78">
        <v>0</v>
      </c>
      <c r="S232" s="78">
        <v>0.19333300877014564</v>
      </c>
      <c r="T232" s="116">
        <v>0.39409061050315558</v>
      </c>
      <c r="AF232"/>
    </row>
    <row r="233" spans="2:32">
      <c r="H233" s="370">
        <v>55.000001509828465</v>
      </c>
      <c r="I233" s="108">
        <v>4.5560442762011348</v>
      </c>
      <c r="J233" s="78">
        <v>4.5560442762011348</v>
      </c>
      <c r="K233" s="78">
        <v>3.7069480263759504</v>
      </c>
      <c r="L233" s="116">
        <v>3.7069481943806961</v>
      </c>
      <c r="N233" s="370">
        <v>55.000001509828465</v>
      </c>
      <c r="O233" s="77">
        <v>3.3360179829337339E-2</v>
      </c>
      <c r="P233" s="78">
        <v>0.24900333062440583</v>
      </c>
      <c r="Q233" s="78">
        <v>0.18779149765332592</v>
      </c>
      <c r="R233" s="78">
        <v>0</v>
      </c>
      <c r="S233" s="78">
        <v>0.1857136739036335</v>
      </c>
      <c r="T233" s="116">
        <v>0.4303779565704991</v>
      </c>
      <c r="AF233"/>
    </row>
    <row r="234" spans="2:32">
      <c r="H234" s="370">
        <v>60.000001647085597</v>
      </c>
      <c r="I234" s="108">
        <v>4.5468226017277065</v>
      </c>
      <c r="J234" s="78">
        <v>4.5468226017277065</v>
      </c>
      <c r="K234" s="78">
        <v>3.5936719919461737</v>
      </c>
      <c r="L234" s="116">
        <v>3.5936721237021523</v>
      </c>
      <c r="N234" s="370">
        <v>60.000001647085597</v>
      </c>
      <c r="O234" s="77">
        <v>3.1995718199478509E-2</v>
      </c>
      <c r="P234" s="78">
        <v>0.23881888201973783</v>
      </c>
      <c r="Q234" s="78">
        <v>0.17917546521079344</v>
      </c>
      <c r="R234" s="78">
        <v>0</v>
      </c>
      <c r="S234" s="78">
        <v>0.17905299279708825</v>
      </c>
      <c r="T234" s="116">
        <v>0.45500495973244393</v>
      </c>
      <c r="AF234"/>
    </row>
    <row r="235" spans="2:32">
      <c r="H235" s="370">
        <v>65.000001784342729</v>
      </c>
      <c r="I235" s="108">
        <v>4.6284015875685807</v>
      </c>
      <c r="J235" s="78">
        <v>4.6284015875685807</v>
      </c>
      <c r="K235" s="78">
        <v>3.4606571351095523</v>
      </c>
      <c r="L235" s="116">
        <v>3.4606572199610195</v>
      </c>
      <c r="N235" s="370">
        <v>65.000001784342729</v>
      </c>
      <c r="O235" s="77">
        <v>3.5934099639947231E-2</v>
      </c>
      <c r="P235" s="78">
        <v>0.22918123084714065</v>
      </c>
      <c r="Q235" s="78">
        <v>0.17874001543218304</v>
      </c>
      <c r="R235" s="78">
        <v>0</v>
      </c>
      <c r="S235" s="78">
        <v>0.17355334666901015</v>
      </c>
      <c r="T235" s="116">
        <v>0.48608928980892008</v>
      </c>
      <c r="AF235"/>
    </row>
    <row r="236" spans="2:32">
      <c r="H236" s="370">
        <v>70.000001921599846</v>
      </c>
      <c r="I236" s="108">
        <v>4.6037690167874921</v>
      </c>
      <c r="J236" s="78">
        <v>4.6037690167874921</v>
      </c>
      <c r="K236" s="78">
        <v>3.3445376715498942</v>
      </c>
      <c r="L236" s="116">
        <v>3.3445378054664228</v>
      </c>
      <c r="N236" s="370">
        <v>70.000001921599846</v>
      </c>
      <c r="O236" s="77">
        <v>3.4342990204993262E-2</v>
      </c>
      <c r="P236" s="78">
        <v>0.22038321263326702</v>
      </c>
      <c r="Q236" s="78">
        <v>0.16952215543734819</v>
      </c>
      <c r="R236" s="78">
        <v>0</v>
      </c>
      <c r="S236" s="78">
        <v>0.16938183931219841</v>
      </c>
      <c r="T236" s="116">
        <v>0.50399491668334495</v>
      </c>
      <c r="AF236"/>
    </row>
    <row r="237" spans="2:32">
      <c r="H237" s="370">
        <v>75.000002058856978</v>
      </c>
      <c r="I237" s="108">
        <v>4.6817390823626504</v>
      </c>
      <c r="J237" s="78">
        <v>4.6817390823626504</v>
      </c>
      <c r="K237" s="78">
        <v>3.4174824026299397</v>
      </c>
      <c r="L237" s="116">
        <v>3.4174825046891533</v>
      </c>
      <c r="N237" s="370">
        <v>75.000002058856978</v>
      </c>
      <c r="O237" s="77">
        <v>3.8578743052384637E-2</v>
      </c>
      <c r="P237" s="78">
        <v>0.21332115910228794</v>
      </c>
      <c r="Q237" s="78">
        <v>0.16869743704190876</v>
      </c>
      <c r="R237" s="78">
        <v>0</v>
      </c>
      <c r="S237" s="78">
        <v>0.16697971554928118</v>
      </c>
      <c r="T237" s="116">
        <v>0.52863758950053141</v>
      </c>
      <c r="AF237"/>
    </row>
    <row r="238" spans="2:32">
      <c r="H238" s="370">
        <v>80.00000219611411</v>
      </c>
      <c r="I238" s="108">
        <v>4.6603287631373469</v>
      </c>
      <c r="J238" s="78">
        <v>4.6603287631373469</v>
      </c>
      <c r="K238" s="78">
        <v>3.6374752693041095</v>
      </c>
      <c r="L238" s="116">
        <v>3.6374752750192871</v>
      </c>
      <c r="N238" s="370">
        <v>80.00000219611411</v>
      </c>
      <c r="O238" s="77">
        <v>3.7565095301750374E-2</v>
      </c>
      <c r="P238" s="78">
        <v>0.20771621576979579</v>
      </c>
      <c r="Q238" s="78">
        <v>0.16068404710186526</v>
      </c>
      <c r="R238" s="78">
        <v>0</v>
      </c>
      <c r="S238" s="78">
        <v>0.16617326302131183</v>
      </c>
      <c r="T238" s="116">
        <v>0.53897140029571544</v>
      </c>
      <c r="AF238"/>
    </row>
    <row r="239" spans="2:32">
      <c r="H239" s="370">
        <v>85.000002333371228</v>
      </c>
      <c r="I239" s="108">
        <v>4.6478432013989508</v>
      </c>
      <c r="J239" s="78">
        <v>4.6478432013989508</v>
      </c>
      <c r="K239" s="78">
        <v>3.7703851242791404</v>
      </c>
      <c r="L239" s="116">
        <v>3.7703851615633219</v>
      </c>
      <c r="N239" s="370">
        <v>85.000002333371228</v>
      </c>
      <c r="O239" s="77">
        <v>3.696047557732686E-2</v>
      </c>
      <c r="P239" s="78">
        <v>0.20437299419337865</v>
      </c>
      <c r="Q239" s="78">
        <v>0.16140403892862945</v>
      </c>
      <c r="R239" s="78">
        <v>0</v>
      </c>
      <c r="S239" s="78">
        <v>0.16019240699395898</v>
      </c>
      <c r="T239" s="116">
        <v>0.54520331306930081</v>
      </c>
      <c r="AF239"/>
    </row>
    <row r="240" spans="2:32">
      <c r="H240" s="370">
        <v>90.00000247062836</v>
      </c>
      <c r="I240" s="108">
        <v>4.7385347302898371</v>
      </c>
      <c r="J240" s="78">
        <v>4.7385347302898371</v>
      </c>
      <c r="K240" s="78">
        <v>3.88891510168042</v>
      </c>
      <c r="L240" s="116">
        <v>3.8889150641103112</v>
      </c>
      <c r="N240" s="370">
        <v>90.00000247062836</v>
      </c>
      <c r="O240" s="77">
        <v>4.1798226747669393E-2</v>
      </c>
      <c r="P240" s="78">
        <v>0.20301140871987933</v>
      </c>
      <c r="Q240" s="78">
        <v>0.16335739027132404</v>
      </c>
      <c r="R240" s="78">
        <v>0</v>
      </c>
      <c r="S240" s="78">
        <v>0.16335715191574671</v>
      </c>
      <c r="T240" s="116">
        <v>0.55823161718357461</v>
      </c>
      <c r="AF240"/>
    </row>
    <row r="241" spans="8:32">
      <c r="H241" s="370">
        <v>95.000002607885492</v>
      </c>
      <c r="I241" s="108">
        <v>4.6478433014256169</v>
      </c>
      <c r="J241" s="78">
        <v>4.6478433014256169</v>
      </c>
      <c r="K241" s="78">
        <v>3.9923331432617584</v>
      </c>
      <c r="L241" s="116">
        <v>3.9923331280895367</v>
      </c>
      <c r="N241" s="370">
        <v>95.000002607885492</v>
      </c>
      <c r="O241" s="77">
        <v>3.6960460534367162E-2</v>
      </c>
      <c r="P241" s="78">
        <v>0.20437303139643542</v>
      </c>
      <c r="Q241" s="78">
        <v>0.16019265000014085</v>
      </c>
      <c r="R241" s="78">
        <v>0</v>
      </c>
      <c r="S241" s="78">
        <v>0.16140380173227914</v>
      </c>
      <c r="T241" s="116">
        <v>0.54520330894761049</v>
      </c>
      <c r="AF241"/>
    </row>
    <row r="242" spans="8:32">
      <c r="H242" s="370">
        <v>100.00000274514261</v>
      </c>
      <c r="I242" s="108">
        <v>4.6603286699477371</v>
      </c>
      <c r="J242" s="78">
        <v>4.6603286699477371</v>
      </c>
      <c r="K242" s="78">
        <v>4.1769698395155475</v>
      </c>
      <c r="L242" s="116">
        <v>4.1769697215361141</v>
      </c>
      <c r="N242" s="370">
        <v>100.00000274514261</v>
      </c>
      <c r="O242" s="77">
        <v>3.756504772401003E-2</v>
      </c>
      <c r="P242" s="78">
        <v>0.20771626627775425</v>
      </c>
      <c r="Q242" s="78">
        <v>0.166173494085505</v>
      </c>
      <c r="R242" s="78">
        <v>0</v>
      </c>
      <c r="S242" s="78">
        <v>0.16068379910130853</v>
      </c>
      <c r="T242" s="116">
        <v>0.53897139208370526</v>
      </c>
      <c r="AF242"/>
    </row>
    <row r="243" spans="8:32">
      <c r="H243" s="370">
        <v>105.00000288239974</v>
      </c>
      <c r="I243" s="108">
        <v>4.6817391901758523</v>
      </c>
      <c r="J243" s="78">
        <v>4.6817391901758523</v>
      </c>
      <c r="K243" s="78">
        <v>4.1517967929257269</v>
      </c>
      <c r="L243" s="116">
        <v>4.151796716666885</v>
      </c>
      <c r="N243" s="370">
        <v>105.00000288239974</v>
      </c>
      <c r="O243" s="77">
        <v>3.8578680438839219E-2</v>
      </c>
      <c r="P243" s="78">
        <v>0.21332124986064741</v>
      </c>
      <c r="Q243" s="78">
        <v>0.16697995882762065</v>
      </c>
      <c r="R243" s="78">
        <v>0</v>
      </c>
      <c r="S243" s="78">
        <v>0.1686972035632851</v>
      </c>
      <c r="T243" s="116">
        <v>0.5286375772606966</v>
      </c>
      <c r="AF243"/>
    </row>
    <row r="244" spans="8:32">
      <c r="H244" s="370">
        <v>110.00000301965687</v>
      </c>
      <c r="I244" s="108">
        <v>4.6037688352441091</v>
      </c>
      <c r="J244" s="78">
        <v>4.6037688352441091</v>
      </c>
      <c r="K244" s="78">
        <v>4.3055953299907559</v>
      </c>
      <c r="L244" s="116">
        <v>4.3055951538952826</v>
      </c>
      <c r="N244" s="370">
        <v>110.00000301965687</v>
      </c>
      <c r="O244" s="77">
        <v>3.4342886097355349E-2</v>
      </c>
      <c r="P244" s="78">
        <v>0.22038330937900158</v>
      </c>
      <c r="Q244" s="78">
        <v>0.16938206800875033</v>
      </c>
      <c r="R244" s="78">
        <v>0</v>
      </c>
      <c r="S244" s="78">
        <v>0.16952190667035777</v>
      </c>
      <c r="T244" s="116">
        <v>0.50399490083233012</v>
      </c>
      <c r="AF244"/>
    </row>
    <row r="245" spans="8:32">
      <c r="H245" s="370">
        <v>115.00000315691399</v>
      </c>
      <c r="I245" s="108">
        <v>4.6284015231970903</v>
      </c>
      <c r="J245" s="78">
        <v>4.6284015231970903</v>
      </c>
      <c r="K245" s="78">
        <v>4.4381096293821072</v>
      </c>
      <c r="L245" s="116">
        <v>4.4381093620201657</v>
      </c>
      <c r="N245" s="370">
        <v>115.00000315691399</v>
      </c>
      <c r="O245" s="77">
        <v>3.5933977875392584E-2</v>
      </c>
      <c r="P245" s="78">
        <v>0.22918136054083516</v>
      </c>
      <c r="Q245" s="78">
        <v>0.17355358107562974</v>
      </c>
      <c r="R245" s="78">
        <v>0</v>
      </c>
      <c r="S245" s="78">
        <v>0.17873977733540672</v>
      </c>
      <c r="T245" s="116">
        <v>0.48608927022256299</v>
      </c>
      <c r="AF245"/>
    </row>
    <row r="246" spans="8:32">
      <c r="H246" s="370">
        <v>120.00000329417112</v>
      </c>
      <c r="I246" s="108">
        <v>4.5468226610679583</v>
      </c>
      <c r="J246" s="78">
        <v>4.5468226610679583</v>
      </c>
      <c r="K246" s="78">
        <v>4.4560989846630816</v>
      </c>
      <c r="L246" s="116">
        <v>4.4560987352100714</v>
      </c>
      <c r="N246" s="370">
        <v>120.00000329417112</v>
      </c>
      <c r="O246" s="77">
        <v>3.1995614539099014E-2</v>
      </c>
      <c r="P246" s="78">
        <v>0.23881904071886456</v>
      </c>
      <c r="Q246" s="78">
        <v>0.17905322948648514</v>
      </c>
      <c r="R246" s="78">
        <v>0</v>
      </c>
      <c r="S246" s="78">
        <v>0.17917521033020348</v>
      </c>
      <c r="T246" s="116">
        <v>0.4550049370327216</v>
      </c>
      <c r="AF246"/>
    </row>
    <row r="247" spans="8:32">
      <c r="H247" s="370">
        <v>125.00000343142825</v>
      </c>
      <c r="I247" s="108">
        <v>4.5560443716645782</v>
      </c>
      <c r="J247" s="78">
        <v>4.5560443716645782</v>
      </c>
      <c r="K247" s="78">
        <v>4.5513653671561052</v>
      </c>
      <c r="L247" s="116">
        <v>4.5513650394075329</v>
      </c>
      <c r="N247" s="370">
        <v>125.00000343142825</v>
      </c>
      <c r="O247" s="77">
        <v>3.3360072248828976E-2</v>
      </c>
      <c r="P247" s="78">
        <v>0.24900351399792506</v>
      </c>
      <c r="Q247" s="78">
        <v>0.18571390919354067</v>
      </c>
      <c r="R247" s="78">
        <v>0</v>
      </c>
      <c r="S247" s="78">
        <v>0.18779123537074038</v>
      </c>
      <c r="T247" s="116">
        <v>0.43037793053044698</v>
      </c>
      <c r="AF247"/>
    </row>
    <row r="248" spans="8:32">
      <c r="H248" s="370">
        <v>130.00000356868537</v>
      </c>
      <c r="I248" s="108">
        <v>4.4547435858080728</v>
      </c>
      <c r="J248" s="78">
        <v>4.4547435858080728</v>
      </c>
      <c r="K248" s="78">
        <v>4.6228349019831239</v>
      </c>
      <c r="L248" s="116">
        <v>4.6228346545535057</v>
      </c>
      <c r="N248" s="370">
        <v>130.00000356868537</v>
      </c>
      <c r="O248" s="77">
        <v>2.9420787246432076E-2</v>
      </c>
      <c r="P248" s="78">
        <v>0.25942533043535138</v>
      </c>
      <c r="Q248" s="78">
        <v>0.19333323880947823</v>
      </c>
      <c r="R248" s="78">
        <v>0</v>
      </c>
      <c r="S248" s="78">
        <v>0.18582471046236762</v>
      </c>
      <c r="T248" s="116">
        <v>0.39409058192891905</v>
      </c>
      <c r="AF248"/>
    </row>
    <row r="249" spans="8:32">
      <c r="H249" s="370">
        <v>135.0000037059425</v>
      </c>
      <c r="I249" s="108">
        <v>4.340470487240621</v>
      </c>
      <c r="J249" s="78">
        <v>4.340470487240621</v>
      </c>
      <c r="K249" s="78">
        <v>4.676292322640621</v>
      </c>
      <c r="L249" s="116">
        <v>4.6762920793868563</v>
      </c>
      <c r="N249" s="370">
        <v>135.0000037059425</v>
      </c>
      <c r="O249" s="77">
        <v>2.5275080784083595E-2</v>
      </c>
      <c r="P249" s="78">
        <v>0.26976782853852777</v>
      </c>
      <c r="Q249" s="78">
        <v>0.19121210448832993</v>
      </c>
      <c r="R249" s="78">
        <v>0</v>
      </c>
      <c r="S249" s="78">
        <v>0.19256439744706397</v>
      </c>
      <c r="T249" s="116">
        <v>0.35603038185183933</v>
      </c>
      <c r="AF249"/>
    </row>
    <row r="250" spans="8:32">
      <c r="H250" s="370">
        <v>140.00000384319964</v>
      </c>
      <c r="I250" s="108">
        <v>4.3096410598316055</v>
      </c>
      <c r="J250" s="78">
        <v>4.3096410598316055</v>
      </c>
      <c r="K250" s="78">
        <v>4.8023523339563026</v>
      </c>
      <c r="L250" s="116">
        <v>4.8023521531292479</v>
      </c>
      <c r="N250" s="370">
        <v>140.00000384319964</v>
      </c>
      <c r="O250" s="77">
        <v>2.6207215532926945E-2</v>
      </c>
      <c r="P250" s="78">
        <v>0.27971675686168074</v>
      </c>
      <c r="Q250" s="78">
        <v>0.1997103596328699</v>
      </c>
      <c r="R250" s="78">
        <v>0</v>
      </c>
      <c r="S250" s="78">
        <v>0.19821966435377258</v>
      </c>
      <c r="T250" s="116">
        <v>0.32364548144141525</v>
      </c>
      <c r="AF250"/>
    </row>
    <row r="251" spans="8:32">
      <c r="H251" s="370">
        <v>145.00000398045677</v>
      </c>
      <c r="I251" s="108">
        <v>4.261136248116224</v>
      </c>
      <c r="J251" s="78">
        <v>4.261136248116224</v>
      </c>
      <c r="K251" s="78">
        <v>4.9010780705232095</v>
      </c>
      <c r="L251" s="116">
        <v>4.90107794684182</v>
      </c>
      <c r="N251" s="370">
        <v>145.00000398045677</v>
      </c>
      <c r="O251" s="77">
        <v>2.7074153520403044E-2</v>
      </c>
      <c r="P251" s="78">
        <v>0.28896982237463531</v>
      </c>
      <c r="Q251" s="78">
        <v>0.20847492032042644</v>
      </c>
      <c r="R251" s="78">
        <v>0</v>
      </c>
      <c r="S251" s="78">
        <v>0.20261867893038443</v>
      </c>
      <c r="T251" s="116">
        <v>0.28879744335931817</v>
      </c>
      <c r="AF251"/>
    </row>
    <row r="252" spans="8:32">
      <c r="H252" s="370">
        <v>150.00000411771387</v>
      </c>
      <c r="I252" s="108">
        <v>4.0978243415227578</v>
      </c>
      <c r="J252" s="78">
        <v>4.0978243415227578</v>
      </c>
      <c r="K252" s="78">
        <v>4.9726275862960945</v>
      </c>
      <c r="L252" s="116">
        <v>4.9726275106765074</v>
      </c>
      <c r="N252" s="370">
        <v>150.00000411771387</v>
      </c>
      <c r="O252" s="77">
        <v>2.2371494028516906E-2</v>
      </c>
      <c r="P252" s="78">
        <v>0.29724587548125747</v>
      </c>
      <c r="Q252" s="78">
        <v>0.20547461571330242</v>
      </c>
      <c r="R252" s="78">
        <v>0</v>
      </c>
      <c r="S252" s="78">
        <v>0.20562777950653535</v>
      </c>
      <c r="T252" s="116">
        <v>0.24627862392231026</v>
      </c>
      <c r="AF252"/>
    </row>
    <row r="253" spans="8:32">
      <c r="H253" s="370">
        <v>155.000004254971</v>
      </c>
      <c r="I253" s="108">
        <v>4.0178090736864576</v>
      </c>
      <c r="J253" s="78">
        <v>4.0178090736864576</v>
      </c>
      <c r="K253" s="78">
        <v>5.1075597661343908</v>
      </c>
      <c r="L253" s="116">
        <v>5.1075597320284283</v>
      </c>
      <c r="N253" s="370">
        <v>155.000004254971</v>
      </c>
      <c r="O253" s="77">
        <v>2.3233252388565835E-2</v>
      </c>
      <c r="P253" s="78">
        <v>0.30492249404753557</v>
      </c>
      <c r="Q253" s="78">
        <v>0.21413175996514788</v>
      </c>
      <c r="R253" s="78">
        <v>0</v>
      </c>
      <c r="S253" s="78">
        <v>0.20747005695574502</v>
      </c>
      <c r="T253" s="116">
        <v>0.2081636806375835</v>
      </c>
      <c r="AF253"/>
    </row>
    <row r="254" spans="8:32">
      <c r="H254" s="370">
        <v>160.00000439222813</v>
      </c>
      <c r="I254" s="108">
        <v>3.9171919173751624</v>
      </c>
      <c r="J254" s="78">
        <v>3.9171919173751624</v>
      </c>
      <c r="K254" s="78">
        <v>5.4685746725970379</v>
      </c>
      <c r="L254" s="116">
        <v>5.4685746882787347</v>
      </c>
      <c r="N254" s="370">
        <v>160.00000439222813</v>
      </c>
      <c r="O254" s="77">
        <v>2.388002244285509E-2</v>
      </c>
      <c r="P254" s="78">
        <v>0.31127292929527062</v>
      </c>
      <c r="Q254" s="78">
        <v>0.209891598589345</v>
      </c>
      <c r="R254" s="78">
        <v>0</v>
      </c>
      <c r="S254" s="78">
        <v>0.22042318538497865</v>
      </c>
      <c r="T254" s="116">
        <v>0.16846448596343508</v>
      </c>
      <c r="AF254"/>
    </row>
    <row r="255" spans="8:32">
      <c r="H255" s="370">
        <v>165.00000452948527</v>
      </c>
      <c r="I255" s="108">
        <v>3.7940740454322071</v>
      </c>
      <c r="J255" s="78">
        <v>3.7940740454322071</v>
      </c>
      <c r="K255" s="78">
        <v>5.8560365170747231</v>
      </c>
      <c r="L255" s="116">
        <v>5.8560365170751432</v>
      </c>
      <c r="N255" s="370">
        <v>165.00000452948527</v>
      </c>
      <c r="O255" s="77">
        <v>2.3878026829119072E-2</v>
      </c>
      <c r="P255" s="78">
        <v>0.31608976381543397</v>
      </c>
      <c r="Q255" s="78">
        <v>0.2174712620850697</v>
      </c>
      <c r="R255" s="78">
        <v>0</v>
      </c>
      <c r="S255" s="78">
        <v>0.21965637810284655</v>
      </c>
      <c r="T255" s="116">
        <v>0.12748317475897797</v>
      </c>
      <c r="AF255"/>
    </row>
    <row r="256" spans="8:32">
      <c r="H256" s="370">
        <v>170.0000046667424</v>
      </c>
      <c r="I256" s="108">
        <v>3.6576531406262518</v>
      </c>
      <c r="J256" s="78">
        <v>3.6576531406262518</v>
      </c>
      <c r="K256" s="78">
        <v>5.7006583786345697</v>
      </c>
      <c r="L256" s="116">
        <v>5.7006583786349401</v>
      </c>
      <c r="N256" s="370">
        <v>170.0000046667424</v>
      </c>
      <c r="O256" s="77">
        <v>2.4367468850401208E-2</v>
      </c>
      <c r="P256" s="78">
        <v>0.31987547675271161</v>
      </c>
      <c r="Q256" s="78">
        <v>0.22457502251861716</v>
      </c>
      <c r="R256" s="78">
        <v>0</v>
      </c>
      <c r="S256" s="78">
        <v>0.2177036886027624</v>
      </c>
      <c r="T256" s="116">
        <v>8.5531639564817477E-2</v>
      </c>
      <c r="AF256"/>
    </row>
    <row r="257" spans="8:32">
      <c r="H257" s="370">
        <v>175.00000480399953</v>
      </c>
      <c r="I257" s="108">
        <v>3.5025383931964647</v>
      </c>
      <c r="J257" s="78">
        <v>3.5025383931964647</v>
      </c>
      <c r="K257" s="78">
        <v>5.5907723378627754</v>
      </c>
      <c r="L257" s="116">
        <v>5.590772337862993</v>
      </c>
      <c r="N257" s="370">
        <v>175.00000480399953</v>
      </c>
      <c r="O257" s="77">
        <v>2.4656517237215247E-2</v>
      </c>
      <c r="P257" s="78">
        <v>0.32213330946113067</v>
      </c>
      <c r="Q257" s="78">
        <v>0.21787564484465707</v>
      </c>
      <c r="R257" s="78">
        <v>0</v>
      </c>
      <c r="S257" s="78">
        <v>0.22747639488499605</v>
      </c>
      <c r="T257" s="116">
        <v>4.2929156912359212E-2</v>
      </c>
      <c r="AF257"/>
    </row>
    <row r="258" spans="8:32">
      <c r="H258" s="370">
        <v>180.00000494125663</v>
      </c>
      <c r="I258" s="108">
        <v>3.3261427514127191</v>
      </c>
      <c r="J258" s="78">
        <v>3.3261427514127191</v>
      </c>
      <c r="K258" s="78">
        <v>5.5492775612596468</v>
      </c>
      <c r="L258" s="116">
        <v>5.5492775612596681</v>
      </c>
      <c r="N258" s="370">
        <v>180.00000494125663</v>
      </c>
      <c r="O258" s="77">
        <v>2.4271587532997393E-2</v>
      </c>
      <c r="P258" s="78">
        <v>0.32258834919966894</v>
      </c>
      <c r="Q258" s="78">
        <v>0.22307762589446267</v>
      </c>
      <c r="R258" s="78">
        <v>4.2563500327717738E-8</v>
      </c>
      <c r="S258" s="78">
        <v>0.22307737976817657</v>
      </c>
      <c r="T258" s="116">
        <v>0</v>
      </c>
      <c r="AF258"/>
    </row>
    <row r="259" spans="8:32">
      <c r="H259" s="370">
        <v>185.00000507851377</v>
      </c>
      <c r="I259" s="108">
        <v>3.5025388335760361</v>
      </c>
      <c r="J259" s="78">
        <v>3.5025388335760361</v>
      </c>
      <c r="K259" s="78">
        <v>5.5907724882468699</v>
      </c>
      <c r="L259" s="116">
        <v>5.5907724882466541</v>
      </c>
      <c r="N259" s="370">
        <v>185.00000507851377</v>
      </c>
      <c r="O259" s="77">
        <v>2.4656538892740925E-2</v>
      </c>
      <c r="P259" s="78">
        <v>0.32213331257008038</v>
      </c>
      <c r="Q259" s="78">
        <v>0.22747663791360936</v>
      </c>
      <c r="R259" s="78">
        <v>4.2929241715430881E-2</v>
      </c>
      <c r="S259" s="78">
        <v>0.2178753972432686</v>
      </c>
      <c r="T259" s="116">
        <v>0</v>
      </c>
      <c r="AF259"/>
    </row>
    <row r="260" spans="8:32">
      <c r="H260" s="370">
        <v>190.0000052157709</v>
      </c>
      <c r="I260" s="108">
        <v>3.6576532692024837</v>
      </c>
      <c r="J260" s="78">
        <v>3.6576532692024837</v>
      </c>
      <c r="K260" s="78">
        <v>5.700658625248006</v>
      </c>
      <c r="L260" s="116">
        <v>5.7006586252476357</v>
      </c>
      <c r="N260" s="370">
        <v>190.0000052157709</v>
      </c>
      <c r="O260" s="77">
        <v>2.4367446334897184E-2</v>
      </c>
      <c r="P260" s="78">
        <v>0.31987546018809837</v>
      </c>
      <c r="Q260" s="78">
        <v>0.21770392512674869</v>
      </c>
      <c r="R260" s="78">
        <v>8.5531723398563797E-2</v>
      </c>
      <c r="S260" s="78">
        <v>0.22457477189599345</v>
      </c>
      <c r="T260" s="116">
        <v>0</v>
      </c>
      <c r="AF260"/>
    </row>
    <row r="261" spans="8:32">
      <c r="H261" s="370">
        <v>195.00000535302803</v>
      </c>
      <c r="I261" s="108">
        <v>3.7940745472381612</v>
      </c>
      <c r="J261" s="78">
        <v>3.7940745472381612</v>
      </c>
      <c r="K261" s="78">
        <v>5.8560369079750076</v>
      </c>
      <c r="L261" s="116">
        <v>5.8560369079745866</v>
      </c>
      <c r="N261" s="370">
        <v>195.00000535302803</v>
      </c>
      <c r="O261" s="77">
        <v>2.3878048589556829E-2</v>
      </c>
      <c r="P261" s="78">
        <v>0.31608977403209565</v>
      </c>
      <c r="Q261" s="78">
        <v>0.21965662121070578</v>
      </c>
      <c r="R261" s="78">
        <v>0.12748325698538815</v>
      </c>
      <c r="S261" s="78">
        <v>0.21747102441367755</v>
      </c>
      <c r="T261" s="116">
        <v>0</v>
      </c>
      <c r="AF261"/>
    </row>
    <row r="262" spans="8:32">
      <c r="H262" s="370">
        <v>200.00000549028516</v>
      </c>
      <c r="I262" s="108">
        <v>3.9171922245199817</v>
      </c>
      <c r="J262" s="78">
        <v>3.9171922245199817</v>
      </c>
      <c r="K262" s="78">
        <v>5.4685750288145458</v>
      </c>
      <c r="L262" s="116">
        <v>5.4685750131287181</v>
      </c>
      <c r="N262" s="370">
        <v>200.00000549028516</v>
      </c>
      <c r="O262" s="77">
        <v>2.3880042452113219E-2</v>
      </c>
      <c r="P262" s="78">
        <v>0.31127292163755821</v>
      </c>
      <c r="Q262" s="78">
        <v>0.22042341156251105</v>
      </c>
      <c r="R262" s="78">
        <v>0.16846456595672338</v>
      </c>
      <c r="S262" s="78">
        <v>0.20989135329607986</v>
      </c>
      <c r="T262" s="116">
        <v>0</v>
      </c>
      <c r="AF262"/>
    </row>
    <row r="263" spans="8:32">
      <c r="H263" s="370">
        <v>205.00000562754227</v>
      </c>
      <c r="I263" s="108">
        <v>4.0178091040002357</v>
      </c>
      <c r="J263" s="78">
        <v>4.0178091040002357</v>
      </c>
      <c r="K263" s="78">
        <v>5.1075599602663386</v>
      </c>
      <c r="L263" s="116">
        <v>5.1075599763285124</v>
      </c>
      <c r="N263" s="370">
        <v>205.00000562754227</v>
      </c>
      <c r="O263" s="77">
        <v>2.3233230464375802E-2</v>
      </c>
      <c r="P263" s="78">
        <v>0.30492247040274095</v>
      </c>
      <c r="Q263" s="78">
        <v>0.20747027548307187</v>
      </c>
      <c r="R263" s="78">
        <v>0.20816375778896079</v>
      </c>
      <c r="S263" s="78">
        <v>0.21413151708280309</v>
      </c>
      <c r="T263" s="116">
        <v>0</v>
      </c>
      <c r="AF263"/>
    </row>
    <row r="264" spans="8:32">
      <c r="H264" s="370">
        <v>210.0000057647994</v>
      </c>
      <c r="I264" s="108">
        <v>4.097824751086562</v>
      </c>
      <c r="J264" s="78">
        <v>4.097824751086562</v>
      </c>
      <c r="K264" s="78">
        <v>4.9726277566747132</v>
      </c>
      <c r="L264" s="116">
        <v>4.9726278044565166</v>
      </c>
      <c r="N264" s="370">
        <v>210.0000057647994</v>
      </c>
      <c r="O264" s="77">
        <v>2.2371513981398396E-2</v>
      </c>
      <c r="P264" s="78">
        <v>0.29724588054895634</v>
      </c>
      <c r="Q264" s="78">
        <v>0.20562800308170903</v>
      </c>
      <c r="R264" s="78">
        <v>0.24627869764462343</v>
      </c>
      <c r="S264" s="78">
        <v>0.2054743910429486</v>
      </c>
      <c r="T264" s="116">
        <v>0</v>
      </c>
      <c r="AF264"/>
    </row>
    <row r="265" spans="8:32">
      <c r="H265" s="370">
        <v>215.00000590205653</v>
      </c>
      <c r="I265" s="108">
        <v>4.2611364711226889</v>
      </c>
      <c r="J265" s="78">
        <v>4.2611364711226889</v>
      </c>
      <c r="K265" s="78">
        <v>4.9010781690131688</v>
      </c>
      <c r="L265" s="116">
        <v>4.9010782550311349</v>
      </c>
      <c r="N265" s="370">
        <v>215.00000590205653</v>
      </c>
      <c r="O265" s="77">
        <v>2.7074152846700471E-2</v>
      </c>
      <c r="P265" s="78">
        <v>0.28896981517497106</v>
      </c>
      <c r="Q265" s="78">
        <v>0.20261888653548152</v>
      </c>
      <c r="R265" s="78">
        <v>0.28879751464099523</v>
      </c>
      <c r="S265" s="78">
        <v>0.20847470247595443</v>
      </c>
      <c r="T265" s="116">
        <v>0</v>
      </c>
      <c r="AF265"/>
    </row>
    <row r="266" spans="8:32">
      <c r="H266" s="370">
        <v>220.00000603931366</v>
      </c>
      <c r="I266" s="108">
        <v>4.3096411652518896</v>
      </c>
      <c r="J266" s="78">
        <v>4.3096411652518896</v>
      </c>
      <c r="K266" s="78">
        <v>4.802352301528396</v>
      </c>
      <c r="L266" s="116">
        <v>4.802352434908844</v>
      </c>
      <c r="N266" s="370">
        <v>220.00000603931366</v>
      </c>
      <c r="O266" s="77">
        <v>2.6207213987531629E-2</v>
      </c>
      <c r="P266" s="78">
        <v>0.27971674035710975</v>
      </c>
      <c r="Q266" s="78">
        <v>0.1982198572407666</v>
      </c>
      <c r="R266" s="78">
        <v>0.32364554810181767</v>
      </c>
      <c r="S266" s="78">
        <v>0.19971014326961808</v>
      </c>
      <c r="T266" s="116">
        <v>0</v>
      </c>
      <c r="AF266"/>
    </row>
    <row r="267" spans="8:32">
      <c r="H267" s="370">
        <v>225.00000617657079</v>
      </c>
      <c r="I267" s="108">
        <v>4.340470507196752</v>
      </c>
      <c r="J267" s="78">
        <v>4.340470507196752</v>
      </c>
      <c r="K267" s="78">
        <v>4.6762921130460668</v>
      </c>
      <c r="L267" s="116">
        <v>4.6762922991869189</v>
      </c>
      <c r="N267" s="370">
        <v>225.00000617657079</v>
      </c>
      <c r="O267" s="77">
        <v>2.5275078671035199E-2</v>
      </c>
      <c r="P267" s="78">
        <v>0.26976780597422551</v>
      </c>
      <c r="Q267" s="78">
        <v>0.19256457731513052</v>
      </c>
      <c r="R267" s="78">
        <v>0.35603044338365419</v>
      </c>
      <c r="S267" s="78">
        <v>0.19121189252371618</v>
      </c>
      <c r="T267" s="116">
        <v>0</v>
      </c>
      <c r="AF267"/>
    </row>
    <row r="268" spans="8:32">
      <c r="H268" s="370">
        <v>230.00000631382795</v>
      </c>
      <c r="I268" s="108">
        <v>4.4547435213293847</v>
      </c>
      <c r="J268" s="78">
        <v>4.4547435213293847</v>
      </c>
      <c r="K268" s="78">
        <v>4.6228349286863786</v>
      </c>
      <c r="L268" s="116">
        <v>4.6228351095276787</v>
      </c>
      <c r="N268" s="370">
        <v>230.00000631382795</v>
      </c>
      <c r="O268" s="77">
        <v>2.9420768425004698E-2</v>
      </c>
      <c r="P268" s="78">
        <v>0.25942530524060992</v>
      </c>
      <c r="Q268" s="78">
        <v>0.18582487940625583</v>
      </c>
      <c r="R268" s="78">
        <v>0.39409063907973774</v>
      </c>
      <c r="S268" s="78">
        <v>0.1933330413580083</v>
      </c>
      <c r="T268" s="116">
        <v>0</v>
      </c>
      <c r="AF268"/>
    </row>
    <row r="269" spans="8:32">
      <c r="H269" s="370">
        <v>235.00000645108506</v>
      </c>
      <c r="I269" s="108">
        <v>4.5560443215044666</v>
      </c>
      <c r="J269" s="78">
        <v>4.5560443215044666</v>
      </c>
      <c r="K269" s="78">
        <v>4.551365132142247</v>
      </c>
      <c r="L269" s="116">
        <v>4.5513653840895607</v>
      </c>
      <c r="N269" s="370">
        <v>235.00000645108506</v>
      </c>
      <c r="O269" s="77">
        <v>3.3360068992635675E-2</v>
      </c>
      <c r="P269" s="78">
        <v>0.24900348968195585</v>
      </c>
      <c r="Q269" s="78">
        <v>0.18779138697648409</v>
      </c>
      <c r="R269" s="78">
        <v>0.43037798261274784</v>
      </c>
      <c r="S269" s="78">
        <v>0.18571372111854462</v>
      </c>
      <c r="T269" s="116">
        <v>0</v>
      </c>
      <c r="AF269"/>
    </row>
    <row r="270" spans="8:32">
      <c r="H270" s="370">
        <v>240.00000658834219</v>
      </c>
      <c r="I270" s="108">
        <v>4.5468226310701105</v>
      </c>
      <c r="J270" s="78">
        <v>4.5468226310701105</v>
      </c>
      <c r="K270" s="78">
        <v>4.4560986079603486</v>
      </c>
      <c r="L270" s="116">
        <v>4.4560989378492692</v>
      </c>
      <c r="N270" s="370">
        <v>240.00000658834219</v>
      </c>
      <c r="O270" s="77">
        <v>3.1995611867292044E-2</v>
      </c>
      <c r="P270" s="78">
        <v>0.2388190207641738</v>
      </c>
      <c r="Q270" s="78">
        <v>0.17917535668829865</v>
      </c>
      <c r="R270" s="78">
        <v>0.45500498243427329</v>
      </c>
      <c r="S270" s="78">
        <v>0.17905305320128495</v>
      </c>
      <c r="T270" s="116">
        <v>0</v>
      </c>
      <c r="AF270"/>
    </row>
    <row r="271" spans="8:32">
      <c r="H271" s="370">
        <v>245.00000672559932</v>
      </c>
      <c r="I271" s="108">
        <v>4.6284015690041977</v>
      </c>
      <c r="J271" s="78">
        <v>4.6284015690041977</v>
      </c>
      <c r="K271" s="78">
        <v>4.4381095104420245</v>
      </c>
      <c r="L271" s="116">
        <v>4.4381098574400504</v>
      </c>
      <c r="N271" s="370">
        <v>245.00000672559932</v>
      </c>
      <c r="O271" s="77">
        <v>3.5933988970895822E-2</v>
      </c>
      <c r="P271" s="78">
        <v>0.22918134829741046</v>
      </c>
      <c r="Q271" s="78">
        <v>0.1787399126702314</v>
      </c>
      <c r="R271" s="78">
        <v>0.48608930939724448</v>
      </c>
      <c r="S271" s="78">
        <v>0.17355341863532084</v>
      </c>
      <c r="T271" s="116">
        <v>0</v>
      </c>
      <c r="AF271"/>
    </row>
    <row r="272" spans="8:32">
      <c r="H272" s="370">
        <v>250.00000686285645</v>
      </c>
      <c r="I272" s="108">
        <v>4.6037689452045241</v>
      </c>
      <c r="J272" s="78">
        <v>4.6037689452045241</v>
      </c>
      <c r="K272" s="78">
        <v>4.305595053233481</v>
      </c>
      <c r="L272" s="116">
        <v>4.305595307314614</v>
      </c>
      <c r="N272" s="370">
        <v>250.00000686285645</v>
      </c>
      <c r="O272" s="77">
        <v>3.4342883622052664E-2</v>
      </c>
      <c r="P272" s="78">
        <v>0.22038330796252389</v>
      </c>
      <c r="Q272" s="78">
        <v>0.16952205203583678</v>
      </c>
      <c r="R272" s="78">
        <v>0.50399493253625427</v>
      </c>
      <c r="S272" s="78">
        <v>0.16938192104775829</v>
      </c>
      <c r="T272" s="116">
        <v>0</v>
      </c>
      <c r="AF272"/>
    </row>
    <row r="273" spans="8:32">
      <c r="H273" s="370">
        <v>255.00000700011358</v>
      </c>
      <c r="I273" s="108">
        <v>4.681739072686657</v>
      </c>
      <c r="J273" s="78">
        <v>4.681739072686657</v>
      </c>
      <c r="K273" s="78">
        <v>4.1517963450245743</v>
      </c>
      <c r="L273" s="116">
        <v>4.1517964967807997</v>
      </c>
      <c r="N273" s="370">
        <v>255.00000700011358</v>
      </c>
      <c r="O273" s="77">
        <v>3.8578662502770644E-2</v>
      </c>
      <c r="P273" s="78">
        <v>0.21332123393942945</v>
      </c>
      <c r="Q273" s="78">
        <v>0.1686973293041743</v>
      </c>
      <c r="R273" s="78">
        <v>0.52863760174214525</v>
      </c>
      <c r="S273" s="78">
        <v>0.1669798144509356</v>
      </c>
      <c r="T273" s="116">
        <v>0</v>
      </c>
      <c r="AF273"/>
    </row>
    <row r="274" spans="8:32">
      <c r="H274" s="370">
        <v>260.00000713737069</v>
      </c>
      <c r="I274" s="108">
        <v>4.6603287049276165</v>
      </c>
      <c r="J274" s="78">
        <v>4.6603287049276165</v>
      </c>
      <c r="K274" s="78">
        <v>4.1769696060058221</v>
      </c>
      <c r="L274" s="116">
        <v>4.1769697961754764</v>
      </c>
      <c r="N274" s="370">
        <v>260.00000713737069</v>
      </c>
      <c r="O274" s="77">
        <v>3.7565032567118642E-2</v>
      </c>
      <c r="P274" s="78">
        <v>0.20771626735156526</v>
      </c>
      <c r="Q274" s="78">
        <v>0.16068393166922196</v>
      </c>
      <c r="R274" s="78">
        <v>0.53897140850945935</v>
      </c>
      <c r="S274" s="78">
        <v>0.16617336751477901</v>
      </c>
      <c r="T274" s="116">
        <v>0</v>
      </c>
      <c r="AF274"/>
    </row>
    <row r="275" spans="8:32">
      <c r="H275" s="370">
        <v>265.00000727462782</v>
      </c>
      <c r="I275" s="108">
        <v>4.647843201093921</v>
      </c>
      <c r="J275" s="78">
        <v>4.647843201093921</v>
      </c>
      <c r="K275" s="78">
        <v>3.9923327306850322</v>
      </c>
      <c r="L275" s="116">
        <v>3.9923328139464491</v>
      </c>
      <c r="N275" s="370">
        <v>265.00000727462782</v>
      </c>
      <c r="O275" s="77">
        <v>3.6960443771257456E-2</v>
      </c>
      <c r="P275" s="78">
        <v>0.20437302457018033</v>
      </c>
      <c r="Q275" s="78">
        <v>0.16140392301368528</v>
      </c>
      <c r="R275" s="78">
        <v>0.54520331719269532</v>
      </c>
      <c r="S275" s="78">
        <v>0.16019252014205143</v>
      </c>
      <c r="T275" s="116">
        <v>0</v>
      </c>
      <c r="AF275"/>
    </row>
    <row r="276" spans="8:32">
      <c r="H276" s="370">
        <v>270.00000741188495</v>
      </c>
      <c r="I276" s="108">
        <v>4.7385346924885061</v>
      </c>
      <c r="J276" s="78">
        <v>4.7385346924885061</v>
      </c>
      <c r="K276" s="78">
        <v>3.8889149988376919</v>
      </c>
      <c r="L276" s="116">
        <v>3.8889150996331954</v>
      </c>
      <c r="N276" s="370">
        <v>270.00000741188495</v>
      </c>
      <c r="O276" s="77">
        <v>4.1798218954258747E-2</v>
      </c>
      <c r="P276" s="78">
        <v>0.20301141651123975</v>
      </c>
      <c r="Q276" s="78">
        <v>0.16335726704963838</v>
      </c>
      <c r="R276" s="78">
        <v>0.55823161718521574</v>
      </c>
      <c r="S276" s="78">
        <v>0.16335726612529322</v>
      </c>
      <c r="T276" s="116">
        <v>0</v>
      </c>
      <c r="AF276"/>
    </row>
    <row r="277" spans="8:32">
      <c r="H277" s="370">
        <v>275.00000754914208</v>
      </c>
      <c r="I277" s="108">
        <v>4.6478433017267413</v>
      </c>
      <c r="J277" s="78">
        <v>4.6478433017267413</v>
      </c>
      <c r="K277" s="78">
        <v>3.7703847638081252</v>
      </c>
      <c r="L277" s="116">
        <v>3.7703847841601221</v>
      </c>
      <c r="N277" s="370">
        <v>275.00000754914208</v>
      </c>
      <c r="O277" s="77">
        <v>3.6960476812713389E-2</v>
      </c>
      <c r="P277" s="78">
        <v>0.20437301654305765</v>
      </c>
      <c r="Q277" s="78">
        <v>0.16019253469288502</v>
      </c>
      <c r="R277" s="78">
        <v>0.54520330482762547</v>
      </c>
      <c r="S277" s="78">
        <v>0.16140391980634511</v>
      </c>
      <c r="T277" s="116">
        <v>0</v>
      </c>
      <c r="AF277"/>
    </row>
    <row r="278" spans="8:32">
      <c r="H278" s="370">
        <v>280.00000768639921</v>
      </c>
      <c r="I278" s="108">
        <v>4.6603287281540444</v>
      </c>
      <c r="J278" s="78">
        <v>4.6603287281540444</v>
      </c>
      <c r="K278" s="78">
        <v>3.6374752356838971</v>
      </c>
      <c r="L278" s="116">
        <v>3.6374752813323834</v>
      </c>
      <c r="N278" s="370">
        <v>280.00000768639921</v>
      </c>
      <c r="O278" s="77">
        <v>3.7565095108414812E-2</v>
      </c>
      <c r="P278" s="78">
        <v>0.20771623004196843</v>
      </c>
      <c r="Q278" s="78">
        <v>0.1661733852901616</v>
      </c>
      <c r="R278" s="78">
        <v>0.53897138387342669</v>
      </c>
      <c r="S278" s="78">
        <v>0.16068391883578986</v>
      </c>
      <c r="T278" s="116">
        <v>0</v>
      </c>
      <c r="AF278"/>
    </row>
    <row r="279" spans="8:32">
      <c r="H279" s="370">
        <v>285.00000782365635</v>
      </c>
      <c r="I279" s="108">
        <v>4.681739199849237</v>
      </c>
      <c r="J279" s="78">
        <v>4.681739199849237</v>
      </c>
      <c r="K279" s="78">
        <v>3.4174822076968954</v>
      </c>
      <c r="L279" s="116">
        <v>3.4174821500939445</v>
      </c>
      <c r="N279" s="370">
        <v>285.00000782365635</v>
      </c>
      <c r="O279" s="77">
        <v>3.8578745932551443E-2</v>
      </c>
      <c r="P279" s="78">
        <v>0.2133211900752576</v>
      </c>
      <c r="Q279" s="78">
        <v>0.16697985351412584</v>
      </c>
      <c r="R279" s="78">
        <v>0.52863756502264225</v>
      </c>
      <c r="S279" s="78">
        <v>0.1686973177128287</v>
      </c>
      <c r="T279" s="116">
        <v>0</v>
      </c>
      <c r="AF279"/>
    </row>
    <row r="280" spans="8:32">
      <c r="H280" s="370">
        <v>290.00000796091348</v>
      </c>
      <c r="I280" s="108">
        <v>4.6037689068252066</v>
      </c>
      <c r="J280" s="78">
        <v>4.6037689068252066</v>
      </c>
      <c r="K280" s="78">
        <v>3.344537249759636</v>
      </c>
      <c r="L280" s="116">
        <v>3.3445371528084831</v>
      </c>
      <c r="N280" s="370">
        <v>290.00000796091348</v>
      </c>
      <c r="O280" s="77">
        <v>3.4342978033103801E-2</v>
      </c>
      <c r="P280" s="78">
        <v>0.22038322869271024</v>
      </c>
      <c r="Q280" s="78">
        <v>0.16938197780018838</v>
      </c>
      <c r="R280" s="78">
        <v>0.50399488498321077</v>
      </c>
      <c r="S280" s="78">
        <v>0.16952201854486182</v>
      </c>
      <c r="T280" s="116">
        <v>0</v>
      </c>
      <c r="AF280"/>
    </row>
    <row r="281" spans="8:32">
      <c r="H281" s="370">
        <v>295.00000809817061</v>
      </c>
      <c r="I281" s="108">
        <v>4.6284015571118404</v>
      </c>
      <c r="J281" s="78">
        <v>4.6284015571118404</v>
      </c>
      <c r="K281" s="78">
        <v>3.4606576587131914</v>
      </c>
      <c r="L281" s="116">
        <v>3.4606576027596998</v>
      </c>
      <c r="N281" s="370">
        <v>295.00000809817061</v>
      </c>
      <c r="O281" s="77">
        <v>3.5934088547095323E-2</v>
      </c>
      <c r="P281" s="78">
        <v>0.22918125721330446</v>
      </c>
      <c r="Q281" s="78">
        <v>0.17355349863963612</v>
      </c>
      <c r="R281" s="78">
        <v>0.48608925063817598</v>
      </c>
      <c r="S281" s="78">
        <v>0.17873988009752956</v>
      </c>
      <c r="T281" s="116">
        <v>0</v>
      </c>
      <c r="AF281"/>
    </row>
    <row r="282" spans="8:32">
      <c r="H282" s="370">
        <v>300.00000823542774</v>
      </c>
      <c r="I282" s="108">
        <v>4.546822636402525</v>
      </c>
      <c r="J282" s="78">
        <v>4.546822636402525</v>
      </c>
      <c r="K282" s="78">
        <v>3.5936722658438716</v>
      </c>
      <c r="L282" s="116">
        <v>3.5936721545051999</v>
      </c>
      <c r="N282" s="370">
        <v>300.00000823542774</v>
      </c>
      <c r="O282" s="77">
        <v>3.1995720873621472E-2</v>
      </c>
      <c r="P282" s="78">
        <v>0.23881891546945855</v>
      </c>
      <c r="Q282" s="78">
        <v>0.17905315669560512</v>
      </c>
      <c r="R282" s="78">
        <v>0.45500491433510704</v>
      </c>
      <c r="S282" s="78">
        <v>0.17917531885287863</v>
      </c>
      <c r="T282" s="116">
        <v>0</v>
      </c>
      <c r="AF282"/>
    </row>
    <row r="283" spans="8:32">
      <c r="H283" s="370">
        <v>305.00000837268482</v>
      </c>
      <c r="I283" s="108">
        <v>4.5560443203298773</v>
      </c>
      <c r="J283" s="78">
        <v>4.5560443203298773</v>
      </c>
      <c r="K283" s="78">
        <v>3.7069481628516687</v>
      </c>
      <c r="L283" s="116">
        <v>3.7069480063832754</v>
      </c>
      <c r="N283" s="370">
        <v>305.00000837268482</v>
      </c>
      <c r="O283" s="77">
        <v>3.3360183087742641E-2</v>
      </c>
      <c r="P283" s="78">
        <v>0.24900336770499104</v>
      </c>
      <c r="Q283" s="78">
        <v>0.18571384776921585</v>
      </c>
      <c r="R283" s="78">
        <v>0.43037790449259361</v>
      </c>
      <c r="S283" s="78">
        <v>0.18779134604778086</v>
      </c>
      <c r="T283" s="116">
        <v>0</v>
      </c>
      <c r="AF283"/>
    </row>
    <row r="284" spans="8:32">
      <c r="H284" s="370">
        <v>310.00000850994195</v>
      </c>
      <c r="I284" s="108">
        <v>4.4547435058665146</v>
      </c>
      <c r="J284" s="78">
        <v>4.4547435058665146</v>
      </c>
      <c r="K284" s="78">
        <v>3.8086892325442854</v>
      </c>
      <c r="L284" s="116">
        <v>3.8086891417122781</v>
      </c>
      <c r="N284" s="370">
        <v>310.00000850994195</v>
      </c>
      <c r="O284" s="77">
        <v>2.9420892843379006E-2</v>
      </c>
      <c r="P284" s="78">
        <v>0.25942516413294697</v>
      </c>
      <c r="Q284" s="78">
        <v>0.19333319029761314</v>
      </c>
      <c r="R284" s="78">
        <v>0.39409055335702642</v>
      </c>
      <c r="S284" s="78">
        <v>0.18582482919201193</v>
      </c>
      <c r="T284" s="116">
        <v>0</v>
      </c>
      <c r="AF284"/>
    </row>
    <row r="285" spans="8:32">
      <c r="H285" s="370">
        <v>315.00000864719908</v>
      </c>
      <c r="I285" s="108">
        <v>4.3404703957737478</v>
      </c>
      <c r="J285" s="78">
        <v>4.3404703957737478</v>
      </c>
      <c r="K285" s="78">
        <v>3.89613925838708</v>
      </c>
      <c r="L285" s="116">
        <v>3.8961391409448076</v>
      </c>
      <c r="N285" s="370">
        <v>315.00000864719908</v>
      </c>
      <c r="O285" s="77">
        <v>2.5275181982725894E-2</v>
      </c>
      <c r="P285" s="78">
        <v>0.26976764341209952</v>
      </c>
      <c r="Q285" s="78">
        <v>0.1912120741564157</v>
      </c>
      <c r="R285" s="78">
        <v>0.35603035108967168</v>
      </c>
      <c r="S285" s="78">
        <v>0.19256452066150903</v>
      </c>
      <c r="T285" s="116">
        <v>0</v>
      </c>
      <c r="AF285"/>
    </row>
    <row r="286" spans="8:32">
      <c r="H286" s="370">
        <v>320.00000878445621</v>
      </c>
      <c r="I286" s="108">
        <v>4.3096409879584971</v>
      </c>
      <c r="J286" s="78">
        <v>4.3096409879584971</v>
      </c>
      <c r="K286" s="78">
        <v>3.9675812522223168</v>
      </c>
      <c r="L286" s="116">
        <v>3.9675811212131533</v>
      </c>
      <c r="N286" s="370">
        <v>320.00000878445621</v>
      </c>
      <c r="O286" s="77">
        <v>2.6207320403792707E-2</v>
      </c>
      <c r="P286" s="78">
        <v>0.27971655424261682</v>
      </c>
      <c r="Q286" s="78">
        <v>0.19971034501226947</v>
      </c>
      <c r="R286" s="78">
        <v>0.32364544811509177</v>
      </c>
      <c r="S286" s="78">
        <v>0.19821979291299385</v>
      </c>
      <c r="T286" s="116">
        <v>0</v>
      </c>
      <c r="AF286"/>
    </row>
    <row r="287" spans="8:32">
      <c r="H287" s="370">
        <v>325.00000892171334</v>
      </c>
      <c r="I287" s="108">
        <v>4.2611362088978932</v>
      </c>
      <c r="J287" s="78">
        <v>4.2611362088978932</v>
      </c>
      <c r="K287" s="78">
        <v>4.025188878714645</v>
      </c>
      <c r="L287" s="116">
        <v>4.0251887471841323</v>
      </c>
      <c r="N287" s="370">
        <v>325.00000892171334</v>
      </c>
      <c r="O287" s="77">
        <v>2.7074261791256438E-2</v>
      </c>
      <c r="P287" s="78">
        <v>0.28896960373362673</v>
      </c>
      <c r="Q287" s="78">
        <v>0.20847492237545207</v>
      </c>
      <c r="R287" s="78">
        <v>0.28879740772248585</v>
      </c>
      <c r="S287" s="78">
        <v>0.2026188135319589</v>
      </c>
      <c r="T287" s="116">
        <v>0</v>
      </c>
      <c r="AF287"/>
    </row>
    <row r="288" spans="8:32">
      <c r="H288" s="370">
        <v>330.00000905897048</v>
      </c>
      <c r="I288" s="108">
        <v>4.0978243264439458</v>
      </c>
      <c r="J288" s="78">
        <v>4.0978243264439458</v>
      </c>
      <c r="K288" s="78">
        <v>4.0710685320614584</v>
      </c>
      <c r="L288" s="116">
        <v>4.0710684129678256</v>
      </c>
      <c r="N288" s="370">
        <v>330.00000905897048</v>
      </c>
      <c r="O288" s="77">
        <v>2.2371595585004612E-2</v>
      </c>
      <c r="P288" s="78">
        <v>0.29724564242041085</v>
      </c>
      <c r="Q288" s="78">
        <v>0.20547463932162865</v>
      </c>
      <c r="R288" s="78">
        <v>0.24627858706535968</v>
      </c>
      <c r="S288" s="78">
        <v>0.2056279206644461</v>
      </c>
      <c r="T288" s="116">
        <v>0</v>
      </c>
      <c r="AF288"/>
    </row>
    <row r="289" spans="8:32">
      <c r="H289" s="370">
        <v>335.00000919622761</v>
      </c>
      <c r="I289" s="108">
        <v>4.0178089954749385</v>
      </c>
      <c r="J289" s="78">
        <v>4.0178089954749385</v>
      </c>
      <c r="K289" s="78">
        <v>4.1068553831205286</v>
      </c>
      <c r="L289" s="116">
        <v>4.1068552899081476</v>
      </c>
      <c r="N289" s="370">
        <v>335.00000919622761</v>
      </c>
      <c r="O289" s="77">
        <v>2.323335474450805E-2</v>
      </c>
      <c r="P289" s="78">
        <v>0.30492224668395629</v>
      </c>
      <c r="Q289" s="78">
        <v>0.21413178936775301</v>
      </c>
      <c r="R289" s="78">
        <v>0.20816364206620491</v>
      </c>
      <c r="S289" s="78">
        <v>0.20747019248505844</v>
      </c>
      <c r="T289" s="116">
        <v>0</v>
      </c>
      <c r="AF289"/>
    </row>
    <row r="290" spans="8:32">
      <c r="H290" s="370">
        <v>340.00000933348474</v>
      </c>
      <c r="I290" s="108">
        <v>3.9171919060224263</v>
      </c>
      <c r="J290" s="78">
        <v>3.9171919060224263</v>
      </c>
      <c r="K290" s="78">
        <v>4.1353134611920268</v>
      </c>
      <c r="L290" s="116">
        <v>4.1353135017907023</v>
      </c>
      <c r="N290" s="370">
        <v>340.00000933348474</v>
      </c>
      <c r="O290" s="77">
        <v>2.3880128308291022E-2</v>
      </c>
      <c r="P290" s="78">
        <v>0.31127267111740847</v>
      </c>
      <c r="Q290" s="78">
        <v>0.20989165045191194</v>
      </c>
      <c r="R290" s="78">
        <v>0.16846444597119048</v>
      </c>
      <c r="S290" s="78">
        <v>0.22042332312037677</v>
      </c>
      <c r="T290" s="116">
        <v>0</v>
      </c>
      <c r="AF290"/>
    </row>
    <row r="291" spans="8:32">
      <c r="H291" s="370">
        <v>345.00000947074187</v>
      </c>
      <c r="I291" s="108">
        <v>3.7940741073830675</v>
      </c>
      <c r="J291" s="78">
        <v>3.7940741073830675</v>
      </c>
      <c r="K291" s="78">
        <v>4.1557178833504125</v>
      </c>
      <c r="L291" s="116">
        <v>4.1557179208451567</v>
      </c>
      <c r="N291" s="370">
        <v>345.00000947074187</v>
      </c>
      <c r="O291" s="77">
        <v>2.3878134371515109E-2</v>
      </c>
      <c r="P291" s="78">
        <v>0.31608949674748071</v>
      </c>
      <c r="Q291" s="78">
        <v>0.21747133280365663</v>
      </c>
      <c r="R291" s="78">
        <v>0.12748313365024588</v>
      </c>
      <c r="S291" s="57">
        <v>0.21965652278879905</v>
      </c>
      <c r="T291" s="18">
        <v>0</v>
      </c>
      <c r="AF291"/>
    </row>
    <row r="292" spans="8:32">
      <c r="H292" s="370">
        <v>350.000009607999</v>
      </c>
      <c r="I292" s="108">
        <v>3.6576531594512027</v>
      </c>
      <c r="J292" s="78">
        <v>3.6576531594512027</v>
      </c>
      <c r="K292" s="78">
        <v>4.2657609714062712</v>
      </c>
      <c r="L292" s="116">
        <v>4.2657610322596975</v>
      </c>
      <c r="N292" s="370">
        <v>350.000009607999</v>
      </c>
      <c r="O292" s="77">
        <v>2.4367575976695359E-2</v>
      </c>
      <c r="P292" s="78">
        <v>0.3198752012650789</v>
      </c>
      <c r="Q292" s="78">
        <v>0.22457509889489266</v>
      </c>
      <c r="R292" s="78">
        <v>8.5531597652467387E-2</v>
      </c>
      <c r="S292" s="57">
        <v>0.21770382698839785</v>
      </c>
      <c r="T292" s="18">
        <v>0</v>
      </c>
      <c r="AF292"/>
    </row>
    <row r="293" spans="8:32" ht="13.5" thickBot="1">
      <c r="H293" s="165">
        <v>355.00000974525614</v>
      </c>
      <c r="I293" s="109">
        <v>3.502538500049591</v>
      </c>
      <c r="J293" s="118">
        <v>3.502538500049591</v>
      </c>
      <c r="K293" s="118">
        <v>4.2734084594747008</v>
      </c>
      <c r="L293" s="119">
        <v>4.2734085233496222</v>
      </c>
      <c r="N293" s="165">
        <v>355.00000974525614</v>
      </c>
      <c r="O293" s="117">
        <v>2.4656626437743325E-2</v>
      </c>
      <c r="P293" s="118">
        <v>0.32213302918912201</v>
      </c>
      <c r="Q293" s="118">
        <v>0.2178757439679487</v>
      </c>
      <c r="R293" s="118">
        <v>4.2929114515378716E-2</v>
      </c>
      <c r="S293" s="66">
        <v>0.22747653470596044</v>
      </c>
      <c r="T293" s="19">
        <v>0</v>
      </c>
      <c r="AF293"/>
    </row>
  </sheetData>
  <phoneticPr fontId="8" type="noConversion"/>
  <pageMargins left="0.75" right="0.75" top="1" bottom="1" header="0.5" footer="0.5"/>
  <pageSetup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Option Button 3">
              <controlPr defaultSize="0" autoFill="0" autoLine="0" autoPict="0">
                <anchor moveWithCells="1">
                  <from>
                    <xdr:col>3</xdr:col>
                    <xdr:colOff>9525</xdr:colOff>
                    <xdr:row>52</xdr:row>
                    <xdr:rowOff>0</xdr:rowOff>
                  </from>
                  <to>
                    <xdr:col>3</xdr:col>
                    <xdr:colOff>581025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Check Box 4">
              <controlPr defaultSize="0" autoFill="0" autoLine="0" autoPict="0">
                <anchor moveWithCells="1">
                  <from>
                    <xdr:col>2</xdr:col>
                    <xdr:colOff>714375</xdr:colOff>
                    <xdr:row>63</xdr:row>
                    <xdr:rowOff>152400</xdr:rowOff>
                  </from>
                  <to>
                    <xdr:col>3</xdr:col>
                    <xdr:colOff>609600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Option Button 5">
              <controlPr defaultSize="0" autoFill="0" autoLine="0" autoPict="0">
                <anchor moveWithCells="1">
                  <from>
                    <xdr:col>3</xdr:col>
                    <xdr:colOff>9525</xdr:colOff>
                    <xdr:row>55</xdr:row>
                    <xdr:rowOff>152400</xdr:rowOff>
                  </from>
                  <to>
                    <xdr:col>3</xdr:col>
                    <xdr:colOff>581025</xdr:colOff>
                    <xdr:row>57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Option Button 6">
              <controlPr defaultSize="0" autoFill="0" autoLine="0" autoPict="0">
                <anchor moveWithCells="1">
                  <from>
                    <xdr:col>3</xdr:col>
                    <xdr:colOff>9525</xdr:colOff>
                    <xdr:row>59</xdr:row>
                    <xdr:rowOff>152400</xdr:rowOff>
                  </from>
                  <to>
                    <xdr:col>3</xdr:col>
                    <xdr:colOff>581025</xdr:colOff>
                    <xdr:row>61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7" name="Button 10">
              <controlPr defaultSize="0" print="0" autoFill="0" autoPict="0" macro="[0]!Lighting">
                <anchor moveWithCells="1">
                  <from>
                    <xdr:col>1</xdr:col>
                    <xdr:colOff>1181100</xdr:colOff>
                    <xdr:row>90</xdr:row>
                    <xdr:rowOff>28575</xdr:rowOff>
                  </from>
                  <to>
                    <xdr:col>2</xdr:col>
                    <xdr:colOff>295275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8" name="Button 12">
              <controlPr defaultSize="0" print="0" autoFill="0" autoPict="0" macro="[0]!OA_Lighting">
                <anchor moveWithCells="1">
                  <from>
                    <xdr:col>8</xdr:col>
                    <xdr:colOff>523875</xdr:colOff>
                    <xdr:row>90</xdr:row>
                    <xdr:rowOff>9525</xdr:rowOff>
                  </from>
                  <to>
                    <xdr:col>11</xdr:col>
                    <xdr:colOff>485775</xdr:colOff>
                    <xdr:row>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9" name="Button 15">
              <controlPr defaultSize="0" print="0" autoFill="0" autoPict="0" macro="[0]!OA_Power">
                <anchor moveWithCells="1">
                  <from>
                    <xdr:col>9</xdr:col>
                    <xdr:colOff>9525</xdr:colOff>
                    <xdr:row>117</xdr:row>
                    <xdr:rowOff>28575</xdr:rowOff>
                  </from>
                  <to>
                    <xdr:col>11</xdr:col>
                    <xdr:colOff>238125</xdr:colOff>
                    <xdr:row>120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10" name="Button 23">
              <controlPr defaultSize="0" print="0" autoFill="0" autoPict="0" macro="[0]!Hide_IO_Config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11" name="Button 24">
              <controlPr defaultSize="0" print="0" autoFill="0" autoPict="0" macro="[0]!Show_IO_Lighting">
                <anchor moveWithCells="1" sizeWithCells="1">
                  <from>
                    <xdr:col>4</xdr:col>
                    <xdr:colOff>276225</xdr:colOff>
                    <xdr:row>35</xdr:row>
                    <xdr:rowOff>66675</xdr:rowOff>
                  </from>
                  <to>
                    <xdr:col>6</xdr:col>
                    <xdr:colOff>38100</xdr:colOff>
                    <xdr:row>37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12" name="Button 25">
              <controlPr defaultSize="0" print="0" autoFill="0" autoPict="0" macro="[0]!Hide_IO_Lighting">
                <anchor moveWithCells="1" sizeWithCells="1">
                  <from>
                    <xdr:col>6</xdr:col>
                    <xdr:colOff>161925</xdr:colOff>
                    <xdr:row>35</xdr:row>
                    <xdr:rowOff>38100</xdr:rowOff>
                  </from>
                  <to>
                    <xdr:col>7</xdr:col>
                    <xdr:colOff>381000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13" name="Button 31">
              <controlPr defaultSize="0" print="0" autoFill="0" autoPict="0" macro="[0]!_xludf.Power">
                <anchor moveWithCells="1">
                  <from>
                    <xdr:col>1</xdr:col>
                    <xdr:colOff>1057275</xdr:colOff>
                    <xdr:row>116</xdr:row>
                    <xdr:rowOff>123825</xdr:rowOff>
                  </from>
                  <to>
                    <xdr:col>2</xdr:col>
                    <xdr:colOff>180975</xdr:colOff>
                    <xdr:row>119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69"/>
  <sheetViews>
    <sheetView topLeftCell="A133" workbookViewId="0">
      <selection activeCell="E159" sqref="E159"/>
    </sheetView>
  </sheetViews>
  <sheetFormatPr defaultColWidth="8.85546875" defaultRowHeight="12.75"/>
  <cols>
    <col min="1" max="1" width="3" customWidth="1"/>
    <col min="2" max="2" width="1.140625" customWidth="1"/>
    <col min="3" max="3" width="43.140625" customWidth="1"/>
    <col min="4" max="4" width="7.85546875" customWidth="1"/>
    <col min="5" max="16" width="8.140625" customWidth="1"/>
  </cols>
  <sheetData>
    <row r="1" spans="1:15"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>
      <c r="K3" s="139"/>
      <c r="L3" s="140" t="s">
        <v>99</v>
      </c>
      <c r="M3" s="141"/>
      <c r="N3" s="142"/>
    </row>
    <row r="4" spans="1:15">
      <c r="G4" s="2"/>
      <c r="K4" s="143"/>
      <c r="L4" s="6" t="s">
        <v>100</v>
      </c>
      <c r="M4" s="7"/>
      <c r="N4" s="144"/>
    </row>
    <row r="5" spans="1:15">
      <c r="G5" s="2"/>
      <c r="K5" s="145"/>
      <c r="L5" s="8" t="s">
        <v>101</v>
      </c>
      <c r="M5" s="7"/>
      <c r="N5" s="144"/>
    </row>
    <row r="6" spans="1:15">
      <c r="G6" s="2"/>
      <c r="K6" s="146"/>
      <c r="L6" s="8" t="s">
        <v>166</v>
      </c>
      <c r="M6" s="7"/>
      <c r="N6" s="144"/>
    </row>
    <row r="7" spans="1:15">
      <c r="G7" s="2"/>
      <c r="K7" s="147"/>
      <c r="L7" s="148" t="s">
        <v>102</v>
      </c>
      <c r="M7" s="149"/>
      <c r="N7" s="150"/>
    </row>
    <row r="8" spans="1:15">
      <c r="G8" s="2"/>
    </row>
    <row r="10" spans="1:15">
      <c r="C10" t="s">
        <v>71</v>
      </c>
    </row>
    <row r="11" spans="1:15">
      <c r="C11" t="s">
        <v>73</v>
      </c>
    </row>
    <row r="13" spans="1:15" ht="13.5" thickBot="1">
      <c r="C13" s="9" t="s">
        <v>142</v>
      </c>
      <c r="D13" s="9"/>
    </row>
    <row r="14" spans="1:15">
      <c r="A14" s="247">
        <v>0</v>
      </c>
      <c r="C14" s="27" t="s">
        <v>141</v>
      </c>
      <c r="D14" s="208" t="s">
        <v>109</v>
      </c>
      <c r="E14" s="217" t="s">
        <v>103</v>
      </c>
      <c r="H14" s="93" t="s">
        <v>24</v>
      </c>
      <c r="I14" s="94"/>
      <c r="J14" s="95"/>
    </row>
    <row r="15" spans="1:15">
      <c r="A15" s="247">
        <v>1</v>
      </c>
      <c r="C15" s="212" t="s">
        <v>151</v>
      </c>
      <c r="D15" s="221" t="s">
        <v>110</v>
      </c>
      <c r="E15" s="18"/>
      <c r="H15" s="220" t="s">
        <v>202</v>
      </c>
      <c r="I15" s="195" t="s">
        <v>34</v>
      </c>
      <c r="J15" s="14"/>
    </row>
    <row r="16" spans="1:15">
      <c r="A16" s="247">
        <v>2</v>
      </c>
      <c r="C16" s="213" t="s">
        <v>152</v>
      </c>
      <c r="D16" s="222" t="s">
        <v>159</v>
      </c>
      <c r="E16" s="18"/>
      <c r="H16" s="82" t="s">
        <v>110</v>
      </c>
      <c r="I16" s="13" t="s">
        <v>16</v>
      </c>
      <c r="J16" s="14"/>
    </row>
    <row r="17" spans="1:10">
      <c r="A17" s="247">
        <v>3</v>
      </c>
      <c r="C17" s="213" t="s">
        <v>160</v>
      </c>
      <c r="D17" s="223" t="s">
        <v>202</v>
      </c>
      <c r="E17" s="18"/>
      <c r="H17" s="82" t="s">
        <v>17</v>
      </c>
      <c r="I17" s="13" t="s">
        <v>18</v>
      </c>
      <c r="J17" s="14"/>
    </row>
    <row r="18" spans="1:10">
      <c r="A18" s="247">
        <v>4</v>
      </c>
      <c r="C18" s="213" t="s">
        <v>153</v>
      </c>
      <c r="D18" s="222" t="s">
        <v>159</v>
      </c>
      <c r="E18" s="18"/>
      <c r="H18" s="82" t="s">
        <v>158</v>
      </c>
      <c r="I18" s="13" t="s">
        <v>19</v>
      </c>
      <c r="J18" s="14"/>
    </row>
    <row r="19" spans="1:10">
      <c r="A19" s="247">
        <v>5</v>
      </c>
      <c r="C19" s="213" t="s">
        <v>154</v>
      </c>
      <c r="D19" s="222" t="s">
        <v>159</v>
      </c>
      <c r="E19" s="18"/>
      <c r="H19" s="82" t="s">
        <v>37</v>
      </c>
      <c r="I19" s="13" t="s">
        <v>38</v>
      </c>
      <c r="J19" s="14"/>
    </row>
    <row r="20" spans="1:10">
      <c r="A20" s="247">
        <v>6</v>
      </c>
      <c r="C20" s="213" t="s">
        <v>155</v>
      </c>
      <c r="D20" s="222" t="s">
        <v>159</v>
      </c>
      <c r="E20" s="18"/>
      <c r="H20" s="82" t="s">
        <v>39</v>
      </c>
      <c r="I20" s="13" t="s">
        <v>40</v>
      </c>
      <c r="J20" s="14"/>
    </row>
    <row r="21" spans="1:10">
      <c r="A21" s="247">
        <v>7</v>
      </c>
      <c r="B21" s="204"/>
      <c r="C21" s="213" t="s">
        <v>156</v>
      </c>
      <c r="D21" s="222" t="s">
        <v>110</v>
      </c>
      <c r="E21" s="18"/>
      <c r="H21" s="82" t="s">
        <v>211</v>
      </c>
      <c r="I21" s="13" t="s">
        <v>20</v>
      </c>
      <c r="J21" s="14"/>
    </row>
    <row r="22" spans="1:10">
      <c r="A22" s="247">
        <v>8</v>
      </c>
      <c r="B22" s="204"/>
      <c r="C22" s="213" t="s">
        <v>156</v>
      </c>
      <c r="D22" s="222" t="s">
        <v>110</v>
      </c>
      <c r="E22" s="18"/>
      <c r="H22" s="82" t="s">
        <v>162</v>
      </c>
      <c r="I22" s="13" t="s">
        <v>21</v>
      </c>
      <c r="J22" s="14"/>
    </row>
    <row r="23" spans="1:10">
      <c r="A23" s="247">
        <v>9</v>
      </c>
      <c r="B23" s="204"/>
      <c r="C23" s="213" t="s">
        <v>157</v>
      </c>
      <c r="D23" s="222" t="s">
        <v>158</v>
      </c>
      <c r="E23" s="18"/>
      <c r="H23" s="82" t="s">
        <v>159</v>
      </c>
      <c r="I23" s="13" t="s">
        <v>22</v>
      </c>
      <c r="J23" s="14"/>
    </row>
    <row r="24" spans="1:10" ht="13.5" thickBot="1">
      <c r="A24" s="247">
        <v>10</v>
      </c>
      <c r="C24" s="218" t="s">
        <v>35</v>
      </c>
      <c r="D24" s="216" t="s">
        <v>109</v>
      </c>
      <c r="E24" s="219" t="s">
        <v>103</v>
      </c>
      <c r="H24" s="84" t="s">
        <v>36</v>
      </c>
      <c r="I24" s="91" t="s">
        <v>23</v>
      </c>
      <c r="J24" s="92"/>
    </row>
    <row r="25" spans="1:10">
      <c r="A25" s="247">
        <v>11</v>
      </c>
      <c r="C25" s="213" t="s">
        <v>139</v>
      </c>
      <c r="D25" s="222" t="s">
        <v>162</v>
      </c>
      <c r="E25" s="18"/>
    </row>
    <row r="26" spans="1:10">
      <c r="A26" s="247">
        <v>12</v>
      </c>
      <c r="C26" s="213" t="s">
        <v>138</v>
      </c>
      <c r="D26" s="223" t="s">
        <v>202</v>
      </c>
      <c r="E26" s="18"/>
    </row>
    <row r="27" spans="1:10">
      <c r="A27" s="247">
        <v>13</v>
      </c>
      <c r="C27" s="213" t="s">
        <v>12</v>
      </c>
      <c r="D27" s="222" t="s">
        <v>159</v>
      </c>
      <c r="E27" s="18"/>
    </row>
    <row r="28" spans="1:10">
      <c r="A28" s="247">
        <v>14</v>
      </c>
      <c r="C28" s="213" t="s">
        <v>13</v>
      </c>
      <c r="D28" s="222" t="s">
        <v>159</v>
      </c>
      <c r="E28" s="18"/>
    </row>
    <row r="29" spans="1:10" ht="14.25">
      <c r="A29" s="247">
        <v>15</v>
      </c>
      <c r="C29" s="213" t="s">
        <v>9</v>
      </c>
      <c r="D29" s="222" t="s">
        <v>10</v>
      </c>
      <c r="E29" s="18"/>
    </row>
    <row r="30" spans="1:10">
      <c r="A30" s="247">
        <v>16</v>
      </c>
      <c r="C30" s="213" t="s">
        <v>3</v>
      </c>
      <c r="D30" s="222" t="s">
        <v>110</v>
      </c>
      <c r="E30" s="18"/>
    </row>
    <row r="31" spans="1:10">
      <c r="A31" s="247">
        <v>17</v>
      </c>
      <c r="C31" s="213" t="s">
        <v>14</v>
      </c>
      <c r="D31" s="222" t="s">
        <v>110</v>
      </c>
      <c r="E31" s="18"/>
    </row>
    <row r="32" spans="1:10">
      <c r="A32" s="247">
        <v>18</v>
      </c>
      <c r="C32" s="213" t="s">
        <v>81</v>
      </c>
      <c r="D32" s="222" t="s">
        <v>161</v>
      </c>
      <c r="E32" s="18"/>
    </row>
    <row r="33" spans="1:6">
      <c r="A33" s="247">
        <v>19</v>
      </c>
      <c r="C33" s="213" t="s">
        <v>15</v>
      </c>
      <c r="D33" s="222" t="s">
        <v>110</v>
      </c>
      <c r="E33" s="18"/>
    </row>
    <row r="34" spans="1:6" ht="14.25">
      <c r="A34" s="247">
        <v>20</v>
      </c>
      <c r="B34" s="204"/>
      <c r="C34" s="213" t="s">
        <v>4</v>
      </c>
      <c r="D34" s="222" t="s">
        <v>11</v>
      </c>
      <c r="E34" s="18"/>
    </row>
    <row r="35" spans="1:6">
      <c r="A35" s="247">
        <v>21</v>
      </c>
      <c r="C35" s="213" t="s">
        <v>8</v>
      </c>
      <c r="D35" s="223" t="s">
        <v>202</v>
      </c>
      <c r="E35" s="18"/>
    </row>
    <row r="36" spans="1:6" ht="13.5" thickBot="1">
      <c r="A36" s="247">
        <v>22</v>
      </c>
      <c r="C36" s="214" t="s">
        <v>144</v>
      </c>
      <c r="D36" s="224" t="s">
        <v>159</v>
      </c>
      <c r="E36" s="19"/>
      <c r="F36" t="s">
        <v>140</v>
      </c>
    </row>
    <row r="37" spans="1:6">
      <c r="A37" s="247"/>
      <c r="C37" s="205"/>
      <c r="D37" s="205"/>
    </row>
    <row r="38" spans="1:6" ht="13.5" thickBot="1">
      <c r="A38" s="247"/>
      <c r="C38" s="211" t="s">
        <v>25</v>
      </c>
      <c r="D38" s="75"/>
      <c r="E38" s="75"/>
    </row>
    <row r="39" spans="1:6">
      <c r="A39" s="247">
        <v>0</v>
      </c>
      <c r="C39" s="93" t="s">
        <v>5</v>
      </c>
      <c r="D39" s="208" t="s">
        <v>109</v>
      </c>
      <c r="E39" s="217" t="s">
        <v>103</v>
      </c>
    </row>
    <row r="40" spans="1:6">
      <c r="A40" s="247">
        <v>1</v>
      </c>
      <c r="C40" s="213" t="s">
        <v>26</v>
      </c>
      <c r="D40" s="225" t="s">
        <v>202</v>
      </c>
      <c r="E40" s="18"/>
      <c r="F40" t="s">
        <v>143</v>
      </c>
    </row>
    <row r="41" spans="1:6">
      <c r="A41" s="247">
        <v>2</v>
      </c>
      <c r="C41" s="213" t="s">
        <v>145</v>
      </c>
      <c r="D41" s="222" t="s">
        <v>159</v>
      </c>
      <c r="E41" s="18"/>
      <c r="F41" t="s">
        <v>146</v>
      </c>
    </row>
    <row r="42" spans="1:6">
      <c r="A42" s="247">
        <v>3</v>
      </c>
      <c r="C42" s="213" t="s">
        <v>147</v>
      </c>
      <c r="D42" s="222" t="s">
        <v>159</v>
      </c>
      <c r="E42" s="18"/>
      <c r="F42" t="s">
        <v>148</v>
      </c>
    </row>
    <row r="43" spans="1:6">
      <c r="A43" s="247">
        <v>4</v>
      </c>
      <c r="C43" s="213" t="s">
        <v>149</v>
      </c>
      <c r="D43" s="222" t="s">
        <v>159</v>
      </c>
      <c r="E43" s="18"/>
      <c r="F43" s="205" t="s">
        <v>150</v>
      </c>
    </row>
    <row r="44" spans="1:6">
      <c r="A44" s="247">
        <v>5</v>
      </c>
      <c r="C44" s="218" t="s">
        <v>57</v>
      </c>
      <c r="D44" s="216" t="s">
        <v>109</v>
      </c>
      <c r="E44" s="219" t="s">
        <v>103</v>
      </c>
    </row>
    <row r="45" spans="1:6">
      <c r="A45" s="247">
        <v>6</v>
      </c>
      <c r="C45" s="213" t="s">
        <v>27</v>
      </c>
      <c r="D45" s="222" t="s">
        <v>36</v>
      </c>
      <c r="E45" s="18"/>
    </row>
    <row r="46" spans="1:6">
      <c r="A46" s="247">
        <v>7</v>
      </c>
      <c r="C46" s="213" t="s">
        <v>29</v>
      </c>
      <c r="D46" s="222" t="s">
        <v>159</v>
      </c>
      <c r="E46" s="18"/>
    </row>
    <row r="47" spans="1:6">
      <c r="A47" s="247">
        <v>8</v>
      </c>
      <c r="C47" s="213" t="s">
        <v>28</v>
      </c>
      <c r="D47" s="222" t="s">
        <v>159</v>
      </c>
      <c r="E47" s="18"/>
    </row>
    <row r="48" spans="1:6">
      <c r="A48" s="247">
        <v>9</v>
      </c>
      <c r="C48" s="213" t="s">
        <v>30</v>
      </c>
      <c r="D48" s="222" t="s">
        <v>159</v>
      </c>
      <c r="E48" s="18"/>
    </row>
    <row r="49" spans="1:10">
      <c r="A49" s="247">
        <v>10</v>
      </c>
      <c r="C49" s="213" t="s">
        <v>31</v>
      </c>
      <c r="D49" s="222" t="s">
        <v>161</v>
      </c>
      <c r="E49" s="18"/>
    </row>
    <row r="50" spans="1:10">
      <c r="A50" s="247">
        <v>11</v>
      </c>
      <c r="C50" s="213" t="s">
        <v>32</v>
      </c>
      <c r="D50" s="222" t="s">
        <v>161</v>
      </c>
      <c r="E50" s="18"/>
    </row>
    <row r="51" spans="1:10" ht="13.5" thickBot="1">
      <c r="A51" s="247">
        <v>12</v>
      </c>
      <c r="C51" s="214" t="s">
        <v>33</v>
      </c>
      <c r="D51" s="224" t="s">
        <v>161</v>
      </c>
      <c r="E51" s="19"/>
    </row>
    <row r="52" spans="1:10">
      <c r="A52" s="247"/>
      <c r="C52" s="205"/>
      <c r="D52" s="234"/>
      <c r="E52" s="2"/>
    </row>
    <row r="53" spans="1:10" ht="13.5" thickBot="1">
      <c r="A53" s="247"/>
      <c r="C53" s="211" t="s">
        <v>58</v>
      </c>
      <c r="D53" s="234"/>
      <c r="E53" s="2"/>
    </row>
    <row r="54" spans="1:10">
      <c r="A54" s="247">
        <v>0</v>
      </c>
      <c r="C54" s="93" t="s">
        <v>59</v>
      </c>
      <c r="D54" s="243" t="s">
        <v>109</v>
      </c>
      <c r="E54" s="217" t="s">
        <v>103</v>
      </c>
    </row>
    <row r="55" spans="1:10">
      <c r="A55" s="247">
        <v>1</v>
      </c>
      <c r="C55" s="212" t="s">
        <v>65</v>
      </c>
      <c r="D55" s="235" t="s">
        <v>17</v>
      </c>
      <c r="E55" s="244"/>
    </row>
    <row r="56" spans="1:10">
      <c r="A56" s="247">
        <v>2</v>
      </c>
      <c r="C56" s="28" t="s">
        <v>133</v>
      </c>
      <c r="D56" s="56" t="s">
        <v>37</v>
      </c>
      <c r="E56" s="245"/>
    </row>
    <row r="57" spans="1:10">
      <c r="A57" s="247">
        <v>3</v>
      </c>
      <c r="C57" s="28" t="s">
        <v>134</v>
      </c>
      <c r="D57" s="56" t="s">
        <v>37</v>
      </c>
      <c r="E57" s="245"/>
    </row>
    <row r="58" spans="1:10">
      <c r="A58" s="247">
        <v>4</v>
      </c>
      <c r="C58" s="28" t="s">
        <v>135</v>
      </c>
      <c r="D58" s="56" t="s">
        <v>37</v>
      </c>
      <c r="E58" s="245"/>
    </row>
    <row r="59" spans="1:10" ht="13.5" thickBot="1">
      <c r="A59" s="247">
        <v>5</v>
      </c>
      <c r="C59" s="232" t="s">
        <v>64</v>
      </c>
      <c r="D59" s="210"/>
      <c r="E59" s="83"/>
      <c r="F59" s="4"/>
      <c r="G59" s="4"/>
      <c r="J59" s="5"/>
    </row>
    <row r="60" spans="1:10">
      <c r="A60" s="247">
        <v>6</v>
      </c>
      <c r="C60" s="213" t="s">
        <v>66</v>
      </c>
      <c r="D60" s="210"/>
      <c r="E60" s="236"/>
      <c r="F60" s="65"/>
      <c r="G60" s="17"/>
    </row>
    <row r="61" spans="1:10">
      <c r="A61" s="247">
        <v>7</v>
      </c>
      <c r="C61" s="213" t="s">
        <v>67</v>
      </c>
      <c r="D61" s="210"/>
      <c r="E61" s="61"/>
      <c r="F61" s="57"/>
      <c r="G61" s="18"/>
    </row>
    <row r="62" spans="1:10" ht="13.5" thickBot="1">
      <c r="A62" s="247">
        <v>8</v>
      </c>
      <c r="C62" s="213" t="s">
        <v>68</v>
      </c>
      <c r="D62" s="210"/>
      <c r="E62" s="61"/>
      <c r="F62" s="66"/>
      <c r="G62" s="19"/>
    </row>
    <row r="63" spans="1:10">
      <c r="A63" s="247">
        <v>9</v>
      </c>
      <c r="C63" s="218" t="s">
        <v>6</v>
      </c>
      <c r="D63" s="215" t="s">
        <v>109</v>
      </c>
      <c r="E63" s="242" t="s">
        <v>103</v>
      </c>
    </row>
    <row r="64" spans="1:10">
      <c r="A64" s="247">
        <v>10</v>
      </c>
      <c r="C64" s="213" t="s">
        <v>69</v>
      </c>
      <c r="D64" s="210" t="s">
        <v>17</v>
      </c>
      <c r="E64" s="245"/>
    </row>
    <row r="65" spans="1:16" ht="14.25">
      <c r="A65" s="247">
        <v>11</v>
      </c>
      <c r="C65" s="213" t="s">
        <v>70</v>
      </c>
      <c r="D65" s="210" t="s">
        <v>1</v>
      </c>
      <c r="E65" s="245"/>
    </row>
    <row r="66" spans="1:16">
      <c r="A66" s="247">
        <v>12</v>
      </c>
      <c r="C66" s="28" t="s">
        <v>133</v>
      </c>
      <c r="D66" s="56" t="s">
        <v>37</v>
      </c>
      <c r="E66" s="245"/>
    </row>
    <row r="67" spans="1:16">
      <c r="A67" s="247">
        <v>13</v>
      </c>
      <c r="C67" s="28" t="s">
        <v>134</v>
      </c>
      <c r="D67" s="56" t="s">
        <v>37</v>
      </c>
      <c r="E67" s="245"/>
    </row>
    <row r="68" spans="1:16">
      <c r="A68" s="247">
        <v>14</v>
      </c>
      <c r="C68" s="28" t="s">
        <v>135</v>
      </c>
      <c r="D68" s="56" t="s">
        <v>37</v>
      </c>
      <c r="E68" s="245"/>
    </row>
    <row r="69" spans="1:16" ht="13.5" thickBot="1">
      <c r="A69" s="247">
        <v>15</v>
      </c>
      <c r="C69" s="232" t="s">
        <v>64</v>
      </c>
      <c r="D69" s="210"/>
      <c r="E69" s="83"/>
      <c r="F69" s="4"/>
      <c r="G69" s="4"/>
    </row>
    <row r="70" spans="1:16">
      <c r="A70" s="247">
        <v>16</v>
      </c>
      <c r="C70" s="213" t="s">
        <v>66</v>
      </c>
      <c r="D70" s="210"/>
      <c r="E70" s="236"/>
      <c r="F70" s="65"/>
      <c r="G70" s="17"/>
    </row>
    <row r="71" spans="1:16">
      <c r="A71" s="247">
        <v>17</v>
      </c>
      <c r="C71" s="213" t="s">
        <v>67</v>
      </c>
      <c r="D71" s="210"/>
      <c r="E71" s="61"/>
      <c r="F71" s="57"/>
      <c r="G71" s="18"/>
    </row>
    <row r="72" spans="1:16" ht="13.5" thickBot="1">
      <c r="A72" s="247">
        <v>18</v>
      </c>
      <c r="C72" s="213" t="s">
        <v>68</v>
      </c>
      <c r="D72" s="210"/>
      <c r="E72" s="237"/>
      <c r="F72" s="66"/>
      <c r="G72" s="19"/>
    </row>
    <row r="73" spans="1:16">
      <c r="A73" s="247">
        <v>19</v>
      </c>
      <c r="C73" s="218" t="s">
        <v>7</v>
      </c>
      <c r="D73" s="215" t="s">
        <v>109</v>
      </c>
      <c r="E73" s="242" t="s">
        <v>103</v>
      </c>
    </row>
    <row r="74" spans="1:16">
      <c r="A74" s="247">
        <v>20</v>
      </c>
      <c r="C74" s="212" t="s">
        <v>60</v>
      </c>
      <c r="D74" s="221" t="s">
        <v>17</v>
      </c>
      <c r="E74" s="245"/>
    </row>
    <row r="75" spans="1:16">
      <c r="A75" s="247">
        <v>21</v>
      </c>
      <c r="C75" s="28" t="s">
        <v>61</v>
      </c>
      <c r="D75" s="56" t="s">
        <v>37</v>
      </c>
      <c r="E75" s="245"/>
    </row>
    <row r="76" spans="1:16">
      <c r="A76" s="247">
        <v>22</v>
      </c>
      <c r="C76" s="28" t="s">
        <v>62</v>
      </c>
      <c r="D76" s="56" t="s">
        <v>37</v>
      </c>
      <c r="E76" s="245"/>
    </row>
    <row r="77" spans="1:16" ht="13.5" thickBot="1">
      <c r="A77" s="247">
        <v>23</v>
      </c>
      <c r="C77" s="29" t="s">
        <v>63</v>
      </c>
      <c r="D77" s="85" t="s">
        <v>37</v>
      </c>
      <c r="E77" s="246"/>
    </row>
    <row r="78" spans="1:16">
      <c r="A78" s="247"/>
    </row>
    <row r="79" spans="1:16" ht="13.5" thickBot="1">
      <c r="A79" s="247"/>
      <c r="C79" s="9" t="s">
        <v>136</v>
      </c>
      <c r="D79" s="9"/>
    </row>
    <row r="80" spans="1:16" ht="13.5" thickBot="1">
      <c r="A80" s="247">
        <v>0</v>
      </c>
      <c r="C80" s="30" t="s">
        <v>111</v>
      </c>
      <c r="D80" s="170"/>
      <c r="E80" s="192">
        <v>1</v>
      </c>
      <c r="F80" s="192">
        <v>2</v>
      </c>
      <c r="G80" s="192">
        <v>3</v>
      </c>
      <c r="H80" s="192">
        <v>4</v>
      </c>
      <c r="I80" s="192">
        <v>5</v>
      </c>
      <c r="J80" s="192">
        <v>6</v>
      </c>
      <c r="K80" s="192">
        <v>7</v>
      </c>
      <c r="L80" s="192">
        <v>8</v>
      </c>
      <c r="M80" s="192">
        <v>9</v>
      </c>
      <c r="N80" s="192">
        <v>10</v>
      </c>
      <c r="O80" s="192">
        <v>11</v>
      </c>
      <c r="P80" s="193">
        <v>12</v>
      </c>
    </row>
    <row r="81" spans="1:16">
      <c r="A81" s="247">
        <v>1</v>
      </c>
      <c r="C81" s="27" t="s">
        <v>128</v>
      </c>
      <c r="D81" s="67" t="s">
        <v>109</v>
      </c>
      <c r="E81" s="172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38"/>
    </row>
    <row r="82" spans="1:16">
      <c r="A82" s="247">
        <v>2</v>
      </c>
      <c r="C82" s="194" t="s">
        <v>185</v>
      </c>
      <c r="D82" s="206" t="s">
        <v>202</v>
      </c>
      <c r="E82" s="189" t="str">
        <f>Config!H8</f>
        <v>Nadir</v>
      </c>
      <c r="F82" s="189" t="str">
        <f>Config!I8</f>
        <v>Away</v>
      </c>
      <c r="G82" s="189" t="str">
        <f>Config!J8</f>
        <v>Ram</v>
      </c>
      <c r="H82" s="189" t="str">
        <f>Config!K8</f>
        <v>Left</v>
      </c>
      <c r="I82" s="189" t="str">
        <f>Config!L8</f>
        <v>Tail</v>
      </c>
      <c r="J82" s="189" t="str">
        <f>Config!M8</f>
        <v>Right</v>
      </c>
      <c r="K82" s="189" t="str">
        <f>Config!N8</f>
        <v>Side 5</v>
      </c>
      <c r="L82" s="189" t="str">
        <f>Config!O8</f>
        <v>Side 6</v>
      </c>
      <c r="M82" s="191" t="str">
        <f>Config!P8</f>
        <v>Side 7</v>
      </c>
      <c r="N82" s="189" t="str">
        <f>Config!Q8</f>
        <v>Side 8</v>
      </c>
      <c r="O82" s="191" t="str">
        <f>Config!R8</f>
        <v>Side 9</v>
      </c>
      <c r="P82" s="190" t="str">
        <f>Config!S8</f>
        <v>Side 10</v>
      </c>
    </row>
    <row r="83" spans="1:16">
      <c r="A83" s="247">
        <v>3</v>
      </c>
      <c r="C83" s="38" t="s">
        <v>167</v>
      </c>
      <c r="D83" s="56" t="s">
        <v>36</v>
      </c>
      <c r="E83" s="35" t="b">
        <f>Config!H9</f>
        <v>1</v>
      </c>
      <c r="F83" s="35" t="b">
        <f>Config!I9</f>
        <v>1</v>
      </c>
      <c r="G83" s="35" t="b">
        <f>Config!J9</f>
        <v>1</v>
      </c>
      <c r="H83" s="35" t="b">
        <f>Config!K9</f>
        <v>1</v>
      </c>
      <c r="I83" s="35" t="b">
        <f>Config!L9</f>
        <v>1</v>
      </c>
      <c r="J83" s="35" t="b">
        <f>Config!M9</f>
        <v>1</v>
      </c>
      <c r="K83" s="35" t="b">
        <f>Config!N9</f>
        <v>0</v>
      </c>
      <c r="L83" s="35" t="b">
        <f>Config!O9</f>
        <v>0</v>
      </c>
      <c r="M83" s="47" t="b">
        <f>Config!P9</f>
        <v>0</v>
      </c>
      <c r="N83" s="35" t="b">
        <f>Config!Q9</f>
        <v>0</v>
      </c>
      <c r="O83" s="47" t="b">
        <f>Config!R9</f>
        <v>0</v>
      </c>
      <c r="P83" s="39" t="b">
        <f>Config!S9</f>
        <v>0</v>
      </c>
    </row>
    <row r="84" spans="1:16">
      <c r="A84" s="247">
        <v>4</v>
      </c>
      <c r="C84" s="180" t="s">
        <v>42</v>
      </c>
      <c r="D84" s="71" t="s">
        <v>159</v>
      </c>
      <c r="E84" s="151">
        <f>Config!H11</f>
        <v>0</v>
      </c>
      <c r="F84" s="151">
        <f>Config!I11</f>
        <v>0</v>
      </c>
      <c r="G84" s="151">
        <f>Config!J11</f>
        <v>0</v>
      </c>
      <c r="H84" s="151">
        <f>Config!K11</f>
        <v>0</v>
      </c>
      <c r="I84" s="151">
        <f>Config!L11</f>
        <v>0</v>
      </c>
      <c r="J84" s="151">
        <f>Config!M11</f>
        <v>0</v>
      </c>
      <c r="K84" s="151" t="str">
        <f>Config!N11</f>
        <v/>
      </c>
      <c r="L84" s="151" t="str">
        <f>Config!O11</f>
        <v/>
      </c>
      <c r="M84" s="151" t="str">
        <f>Config!P11</f>
        <v/>
      </c>
      <c r="N84" s="151" t="str">
        <f>Config!Q11</f>
        <v/>
      </c>
      <c r="O84" s="151" t="str">
        <f>Config!R11</f>
        <v/>
      </c>
      <c r="P84" s="152" t="str">
        <f>Config!S11</f>
        <v/>
      </c>
    </row>
    <row r="85" spans="1:16">
      <c r="A85" s="247">
        <v>5</v>
      </c>
      <c r="C85" s="28" t="s">
        <v>43</v>
      </c>
      <c r="D85" s="72" t="s">
        <v>159</v>
      </c>
      <c r="E85" s="42">
        <f>Config!H12</f>
        <v>0</v>
      </c>
      <c r="F85" s="42">
        <f>Config!I12</f>
        <v>0</v>
      </c>
      <c r="G85" s="42">
        <f>Config!J12</f>
        <v>90.000000000292403</v>
      </c>
      <c r="H85" s="42">
        <f>Config!K12</f>
        <v>90.000000000292403</v>
      </c>
      <c r="I85" s="42">
        <f>Config!L12</f>
        <v>90.000000000292403</v>
      </c>
      <c r="J85" s="42">
        <f>Config!M12</f>
        <v>90.000000000292403</v>
      </c>
      <c r="K85" s="42" t="str">
        <f>Config!N12</f>
        <v/>
      </c>
      <c r="L85" s="42" t="str">
        <f>Config!O12</f>
        <v/>
      </c>
      <c r="M85" s="42" t="str">
        <f>Config!P12</f>
        <v/>
      </c>
      <c r="N85" s="42" t="str">
        <f>Config!Q12</f>
        <v/>
      </c>
      <c r="O85" s="42" t="str">
        <f>Config!R12</f>
        <v/>
      </c>
      <c r="P85" s="45" t="str">
        <f>Config!S12</f>
        <v/>
      </c>
    </row>
    <row r="86" spans="1:16">
      <c r="A86" s="247">
        <v>6</v>
      </c>
      <c r="C86" s="156" t="s">
        <v>44</v>
      </c>
      <c r="D86" s="73" t="s">
        <v>159</v>
      </c>
      <c r="E86" s="90">
        <f>Config!H13</f>
        <v>0</v>
      </c>
      <c r="F86" s="90">
        <f>Config!I13</f>
        <v>180.00000000001185</v>
      </c>
      <c r="G86" s="90">
        <f>Config!J13</f>
        <v>-180.00000000001185</v>
      </c>
      <c r="H86" s="90">
        <f>Config!K13</f>
        <v>-90.000000000005926</v>
      </c>
      <c r="I86" s="90">
        <f>Config!L13</f>
        <v>0</v>
      </c>
      <c r="J86" s="90">
        <f>Config!M13</f>
        <v>90.000000000005926</v>
      </c>
      <c r="K86" s="90" t="str">
        <f>Config!N13</f>
        <v/>
      </c>
      <c r="L86" s="42" t="str">
        <f>Config!O13</f>
        <v/>
      </c>
      <c r="M86" s="42" t="str">
        <f>Config!P13</f>
        <v/>
      </c>
      <c r="N86" s="42" t="str">
        <f>Config!Q13</f>
        <v/>
      </c>
      <c r="O86" s="42" t="str">
        <f>Config!R13</f>
        <v/>
      </c>
      <c r="P86" s="45" t="str">
        <f>Config!S13</f>
        <v/>
      </c>
    </row>
    <row r="87" spans="1:16">
      <c r="A87" s="247">
        <v>7</v>
      </c>
      <c r="C87" s="180" t="s">
        <v>113</v>
      </c>
      <c r="D87" s="71" t="s">
        <v>37</v>
      </c>
      <c r="E87" s="153">
        <f>Config!H14</f>
        <v>0</v>
      </c>
      <c r="F87" s="153">
        <f>Config!I14</f>
        <v>0</v>
      </c>
      <c r="G87" s="153">
        <f>Config!J14</f>
        <v>5</v>
      </c>
      <c r="H87" s="153">
        <f>Config!K14</f>
        <v>-5</v>
      </c>
      <c r="I87" s="153">
        <f>Config!L14</f>
        <v>5</v>
      </c>
      <c r="J87" s="153">
        <f>Config!M14</f>
        <v>-5</v>
      </c>
      <c r="K87" s="153">
        <f>Config!N14</f>
        <v>0</v>
      </c>
      <c r="L87" s="153">
        <f>Config!O14</f>
        <v>0</v>
      </c>
      <c r="M87" s="154">
        <f>Config!P14</f>
        <v>0</v>
      </c>
      <c r="N87" s="153">
        <f>Config!Q14</f>
        <v>0</v>
      </c>
      <c r="O87" s="154">
        <f>Config!R14</f>
        <v>0</v>
      </c>
      <c r="P87" s="155">
        <f>Config!S14</f>
        <v>0</v>
      </c>
    </row>
    <row r="88" spans="1:16">
      <c r="A88" s="247">
        <v>8</v>
      </c>
      <c r="C88" s="28" t="s">
        <v>114</v>
      </c>
      <c r="D88" s="56" t="s">
        <v>37</v>
      </c>
      <c r="E88" s="46">
        <f>Config!H15</f>
        <v>0</v>
      </c>
      <c r="F88" s="46">
        <f>Config!I15</f>
        <v>0</v>
      </c>
      <c r="G88" s="46">
        <f>Config!J15</f>
        <v>0</v>
      </c>
      <c r="H88" s="46">
        <f>Config!K15</f>
        <v>0</v>
      </c>
      <c r="I88" s="46">
        <f>Config!L15</f>
        <v>0</v>
      </c>
      <c r="J88" s="46">
        <f>Config!M15</f>
        <v>0</v>
      </c>
      <c r="K88" s="46">
        <f>Config!N15</f>
        <v>0</v>
      </c>
      <c r="L88" s="46">
        <f>Config!O15</f>
        <v>0</v>
      </c>
      <c r="M88" s="26">
        <f>Config!P15</f>
        <v>0</v>
      </c>
      <c r="N88" s="46">
        <f>Config!Q15</f>
        <v>0</v>
      </c>
      <c r="O88" s="26">
        <f>Config!R15</f>
        <v>0</v>
      </c>
      <c r="P88" s="49">
        <f>Config!S15</f>
        <v>0</v>
      </c>
    </row>
    <row r="89" spans="1:16">
      <c r="A89" s="247">
        <v>9</v>
      </c>
      <c r="C89" s="156" t="s">
        <v>115</v>
      </c>
      <c r="D89" s="74" t="s">
        <v>37</v>
      </c>
      <c r="E89" s="157">
        <f>Config!H16</f>
        <v>5</v>
      </c>
      <c r="F89" s="157">
        <f>Config!I16</f>
        <v>-5</v>
      </c>
      <c r="G89" s="157">
        <f>Config!J16</f>
        <v>0</v>
      </c>
      <c r="H89" s="157">
        <f>Config!K16</f>
        <v>0</v>
      </c>
      <c r="I89" s="157">
        <f>Config!L16</f>
        <v>0</v>
      </c>
      <c r="J89" s="157">
        <f>Config!M16</f>
        <v>0</v>
      </c>
      <c r="K89" s="157">
        <f>Config!N16</f>
        <v>0</v>
      </c>
      <c r="L89" s="157">
        <f>Config!O16</f>
        <v>0</v>
      </c>
      <c r="M89" s="158">
        <f>Config!P16</f>
        <v>0</v>
      </c>
      <c r="N89" s="157">
        <f>Config!Q16</f>
        <v>0</v>
      </c>
      <c r="O89" s="158">
        <f>Config!R16</f>
        <v>0</v>
      </c>
      <c r="P89" s="159">
        <f>Config!S16</f>
        <v>0</v>
      </c>
    </row>
    <row r="90" spans="1:16">
      <c r="A90" s="247">
        <v>10</v>
      </c>
      <c r="B90" s="204"/>
      <c r="C90" s="180" t="s">
        <v>116</v>
      </c>
      <c r="D90" s="227" t="s">
        <v>202</v>
      </c>
      <c r="E90" s="178">
        <f>Config!H17</f>
        <v>0</v>
      </c>
      <c r="F90" s="178">
        <f>Config!I17</f>
        <v>0</v>
      </c>
      <c r="G90" s="50">
        <f>Config!J17</f>
        <v>1</v>
      </c>
      <c r="H90" s="50">
        <f>Config!K17</f>
        <v>1.0341155557737347E-13</v>
      </c>
      <c r="I90" s="50">
        <f>Config!L17</f>
        <v>-1</v>
      </c>
      <c r="J90" s="50">
        <f>Config!M17</f>
        <v>1.0341155557737347E-13</v>
      </c>
      <c r="K90" s="50" t="str">
        <f>Config!N17</f>
        <v/>
      </c>
      <c r="L90" s="50" t="str">
        <f>Config!O17</f>
        <v/>
      </c>
      <c r="M90" s="50" t="str">
        <f>Config!P17</f>
        <v/>
      </c>
      <c r="N90" s="50" t="str">
        <f>Config!Q17</f>
        <v/>
      </c>
      <c r="O90" s="50" t="str">
        <f>Config!R17</f>
        <v/>
      </c>
      <c r="P90" s="44" t="str">
        <f>Config!S17</f>
        <v/>
      </c>
    </row>
    <row r="91" spans="1:16">
      <c r="A91" s="247">
        <v>11</v>
      </c>
      <c r="B91" s="204"/>
      <c r="C91" s="28" t="s">
        <v>117</v>
      </c>
      <c r="D91" s="228" t="s">
        <v>202</v>
      </c>
      <c r="E91" s="36">
        <f>Config!H18</f>
        <v>0</v>
      </c>
      <c r="F91" s="36">
        <f>Config!I18</f>
        <v>2.0682311115474694E-13</v>
      </c>
      <c r="G91" s="43">
        <f>Config!J18</f>
        <v>-2.0682311115474694E-13</v>
      </c>
      <c r="H91" s="43">
        <f>Config!K18</f>
        <v>1</v>
      </c>
      <c r="I91" s="43">
        <f>Config!L18</f>
        <v>0</v>
      </c>
      <c r="J91" s="43">
        <f>Config!M18</f>
        <v>-1</v>
      </c>
      <c r="K91" s="43" t="str">
        <f>Config!N18</f>
        <v/>
      </c>
      <c r="L91" s="43" t="str">
        <f>Config!O18</f>
        <v/>
      </c>
      <c r="M91" s="43" t="str">
        <f>Config!P18</f>
        <v/>
      </c>
      <c r="N91" s="43" t="str">
        <f>Config!Q18</f>
        <v/>
      </c>
      <c r="O91" s="43" t="str">
        <f>Config!R18</f>
        <v/>
      </c>
      <c r="P91" s="44" t="str">
        <f>Config!S18</f>
        <v/>
      </c>
    </row>
    <row r="92" spans="1:16">
      <c r="A92" s="247">
        <v>12</v>
      </c>
      <c r="B92" s="204"/>
      <c r="C92" s="156" t="s">
        <v>118</v>
      </c>
      <c r="D92" s="229" t="s">
        <v>202</v>
      </c>
      <c r="E92" s="160">
        <f>Config!H19</f>
        <v>1</v>
      </c>
      <c r="F92" s="160">
        <f>Config!I19</f>
        <v>-1</v>
      </c>
      <c r="G92" s="161">
        <f>Config!J19</f>
        <v>5.1034119692792285E-12</v>
      </c>
      <c r="H92" s="161">
        <f>Config!K19</f>
        <v>5.2775177049535193E-25</v>
      </c>
      <c r="I92" s="161">
        <f>Config!L19</f>
        <v>-5.1034119692792285E-12</v>
      </c>
      <c r="J92" s="161">
        <f>Config!M19</f>
        <v>5.2775177049535193E-25</v>
      </c>
      <c r="K92" s="161" t="str">
        <f>Config!N19</f>
        <v/>
      </c>
      <c r="L92" s="161" t="str">
        <f>Config!O19</f>
        <v/>
      </c>
      <c r="M92" s="161" t="str">
        <f>Config!P19</f>
        <v/>
      </c>
      <c r="N92" s="161" t="str">
        <f>Config!Q19</f>
        <v/>
      </c>
      <c r="O92" s="161" t="str">
        <f>Config!R19</f>
        <v/>
      </c>
      <c r="P92" s="162" t="str">
        <f>Config!S19</f>
        <v/>
      </c>
    </row>
    <row r="93" spans="1:16">
      <c r="A93" s="247">
        <v>13</v>
      </c>
      <c r="C93" s="28" t="s">
        <v>119</v>
      </c>
      <c r="D93" s="56" t="s">
        <v>37</v>
      </c>
      <c r="E93" s="46">
        <f>Config!H20</f>
        <v>0</v>
      </c>
      <c r="F93" s="46">
        <f>Config!I20</f>
        <v>0</v>
      </c>
      <c r="G93" s="46">
        <f>Config!J20</f>
        <v>0</v>
      </c>
      <c r="H93" s="46">
        <f>Config!K20</f>
        <v>0</v>
      </c>
      <c r="I93" s="46">
        <f>Config!L20</f>
        <v>0</v>
      </c>
      <c r="J93" s="46">
        <f>Config!M20</f>
        <v>0</v>
      </c>
      <c r="K93" s="46">
        <f>Config!N20</f>
        <v>0</v>
      </c>
      <c r="L93" s="46">
        <f>Config!O20</f>
        <v>0</v>
      </c>
      <c r="M93" s="26">
        <f>Config!P20</f>
        <v>0</v>
      </c>
      <c r="N93" s="46">
        <f>Config!Q20</f>
        <v>0</v>
      </c>
      <c r="O93" s="26">
        <f>Config!R20</f>
        <v>0</v>
      </c>
      <c r="P93" s="49">
        <f>Config!S20</f>
        <v>0</v>
      </c>
    </row>
    <row r="94" spans="1:16">
      <c r="A94" s="247">
        <v>14</v>
      </c>
      <c r="C94" s="28" t="s">
        <v>120</v>
      </c>
      <c r="D94" s="56" t="s">
        <v>37</v>
      </c>
      <c r="E94" s="46">
        <f>Config!H21</f>
        <v>0</v>
      </c>
      <c r="F94" s="46">
        <f>Config!I21</f>
        <v>0</v>
      </c>
      <c r="G94" s="46">
        <f>Config!J21</f>
        <v>0</v>
      </c>
      <c r="H94" s="46">
        <f>Config!K21</f>
        <v>0</v>
      </c>
      <c r="I94" s="46">
        <f>Config!L21</f>
        <v>0</v>
      </c>
      <c r="J94" s="46">
        <f>Config!M21</f>
        <v>0</v>
      </c>
      <c r="K94" s="46">
        <f>Config!N21</f>
        <v>0</v>
      </c>
      <c r="L94" s="46">
        <f>Config!O21</f>
        <v>0</v>
      </c>
      <c r="M94" s="46">
        <f>Config!P21</f>
        <v>0</v>
      </c>
      <c r="N94" s="46">
        <f>Config!Q21</f>
        <v>0</v>
      </c>
      <c r="O94" s="46">
        <f>Config!R21</f>
        <v>0</v>
      </c>
      <c r="P94" s="49">
        <f>Config!S21</f>
        <v>0</v>
      </c>
    </row>
    <row r="95" spans="1:16">
      <c r="A95" s="247">
        <v>15</v>
      </c>
      <c r="C95" s="156" t="s">
        <v>121</v>
      </c>
      <c r="D95" s="74" t="s">
        <v>37</v>
      </c>
      <c r="E95" s="157">
        <f>Config!H22</f>
        <v>0</v>
      </c>
      <c r="F95" s="157">
        <f>Config!I22</f>
        <v>0</v>
      </c>
      <c r="G95" s="157">
        <f>Config!J22</f>
        <v>0</v>
      </c>
      <c r="H95" s="157">
        <f>Config!K22</f>
        <v>0</v>
      </c>
      <c r="I95" s="157">
        <f>Config!L22</f>
        <v>0</v>
      </c>
      <c r="J95" s="157">
        <f>Config!M22</f>
        <v>0</v>
      </c>
      <c r="K95" s="157">
        <f>Config!N22</f>
        <v>0</v>
      </c>
      <c r="L95" s="157">
        <f>Config!O22</f>
        <v>0</v>
      </c>
      <c r="M95" s="157">
        <f>Config!P22</f>
        <v>0</v>
      </c>
      <c r="N95" s="157">
        <f>Config!Q22</f>
        <v>0</v>
      </c>
      <c r="O95" s="157">
        <f>Config!R22</f>
        <v>0</v>
      </c>
      <c r="P95" s="159">
        <f>Config!S22</f>
        <v>0</v>
      </c>
    </row>
    <row r="96" spans="1:16">
      <c r="A96" s="247">
        <v>16</v>
      </c>
      <c r="B96" s="204"/>
      <c r="C96" s="28" t="s">
        <v>122</v>
      </c>
      <c r="D96" s="56" t="s">
        <v>37</v>
      </c>
      <c r="E96" s="46">
        <f>Config!H23</f>
        <v>0</v>
      </c>
      <c r="F96" s="46">
        <f>Config!I23</f>
        <v>0</v>
      </c>
      <c r="G96" s="46">
        <f>Config!J23</f>
        <v>0</v>
      </c>
      <c r="H96" s="46">
        <f>Config!K23</f>
        <v>0</v>
      </c>
      <c r="I96" s="46">
        <f>Config!L23</f>
        <v>0</v>
      </c>
      <c r="J96" s="46">
        <f>Config!M23</f>
        <v>0</v>
      </c>
      <c r="K96" s="46">
        <f>Config!N23</f>
        <v>0</v>
      </c>
      <c r="L96" s="46">
        <f>Config!O23</f>
        <v>0</v>
      </c>
      <c r="M96" s="26">
        <f>Config!P23</f>
        <v>0</v>
      </c>
      <c r="N96" s="46">
        <f>Config!Q23</f>
        <v>0</v>
      </c>
      <c r="O96" s="26">
        <f>Config!R23</f>
        <v>0</v>
      </c>
      <c r="P96" s="49">
        <f>Config!S23</f>
        <v>0</v>
      </c>
    </row>
    <row r="97" spans="1:16">
      <c r="A97" s="247">
        <v>17</v>
      </c>
      <c r="B97" s="204"/>
      <c r="C97" s="28" t="s">
        <v>123</v>
      </c>
      <c r="D97" s="56" t="s">
        <v>37</v>
      </c>
      <c r="E97" s="46">
        <f>Config!H24</f>
        <v>0</v>
      </c>
      <c r="F97" s="46">
        <f>Config!I24</f>
        <v>0</v>
      </c>
      <c r="G97" s="46">
        <f>Config!J24</f>
        <v>0</v>
      </c>
      <c r="H97" s="46">
        <f>Config!K24</f>
        <v>0</v>
      </c>
      <c r="I97" s="46">
        <f>Config!L24</f>
        <v>0</v>
      </c>
      <c r="J97" s="46">
        <f>Config!M24</f>
        <v>0</v>
      </c>
      <c r="K97" s="46">
        <f>Config!N24</f>
        <v>0</v>
      </c>
      <c r="L97" s="46">
        <f>Config!O24</f>
        <v>0</v>
      </c>
      <c r="M97" s="46">
        <f>Config!P24</f>
        <v>0</v>
      </c>
      <c r="N97" s="46">
        <f>Config!Q24</f>
        <v>0</v>
      </c>
      <c r="O97" s="46">
        <f>Config!R24</f>
        <v>0</v>
      </c>
      <c r="P97" s="49">
        <f>Config!S24</f>
        <v>0</v>
      </c>
    </row>
    <row r="98" spans="1:16" ht="13.5" thickBot="1">
      <c r="A98" s="247">
        <v>18</v>
      </c>
      <c r="B98" s="204"/>
      <c r="C98" s="29" t="s">
        <v>124</v>
      </c>
      <c r="D98" s="85" t="s">
        <v>37</v>
      </c>
      <c r="E98" s="167">
        <f>Config!H25</f>
        <v>0</v>
      </c>
      <c r="F98" s="167">
        <f>Config!I25</f>
        <v>0</v>
      </c>
      <c r="G98" s="167">
        <f>Config!J25</f>
        <v>0</v>
      </c>
      <c r="H98" s="167">
        <f>Config!K25</f>
        <v>0</v>
      </c>
      <c r="I98" s="167">
        <f>Config!L25</f>
        <v>0</v>
      </c>
      <c r="J98" s="167">
        <f>Config!M25</f>
        <v>0</v>
      </c>
      <c r="K98" s="167">
        <f>Config!N25</f>
        <v>0</v>
      </c>
      <c r="L98" s="167">
        <f>Config!O25</f>
        <v>0</v>
      </c>
      <c r="M98" s="167">
        <f>Config!P25</f>
        <v>0</v>
      </c>
      <c r="N98" s="167">
        <f>Config!Q25</f>
        <v>0</v>
      </c>
      <c r="O98" s="167">
        <f>Config!R25</f>
        <v>0</v>
      </c>
      <c r="P98" s="168">
        <f>Config!S25</f>
        <v>0</v>
      </c>
    </row>
    <row r="99" spans="1:16">
      <c r="A99" s="247">
        <v>19</v>
      </c>
      <c r="C99" s="27" t="s">
        <v>129</v>
      </c>
      <c r="D99" s="174"/>
      <c r="E99" s="172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38"/>
    </row>
    <row r="100" spans="1:16">
      <c r="A100" s="247">
        <v>20</v>
      </c>
      <c r="C100" s="202" t="s">
        <v>45</v>
      </c>
      <c r="D100" s="207" t="s">
        <v>17</v>
      </c>
      <c r="E100" s="201"/>
      <c r="F100" s="201"/>
      <c r="G100" s="201"/>
      <c r="H100" s="201"/>
      <c r="I100" s="201"/>
      <c r="J100" s="201"/>
      <c r="K100" s="201"/>
      <c r="L100" s="201"/>
      <c r="M100" s="201" t="str">
        <f>IF(Config!M98,Config!#REF!/(Config!#REF!+2),"")</f>
        <v/>
      </c>
      <c r="N100" s="201" t="str">
        <f>IF(Config!N98,Config!#REF!/(Config!#REF!+2),"")</f>
        <v/>
      </c>
      <c r="O100" s="201" t="str">
        <f>IF(Config!O98,Config!#REF!/(Config!#REF!+2),"")</f>
        <v/>
      </c>
      <c r="P100" s="203" t="str">
        <f>IF(Config!P98,Config!#REF!/(Config!#REF!+2),"")</f>
        <v/>
      </c>
    </row>
    <row r="101" spans="1:16">
      <c r="A101" s="247">
        <v>21</v>
      </c>
      <c r="C101" s="180" t="s">
        <v>130</v>
      </c>
      <c r="D101" s="70" t="s">
        <v>37</v>
      </c>
      <c r="E101" s="151"/>
      <c r="F101" s="151"/>
      <c r="G101" s="151"/>
      <c r="H101" s="151"/>
      <c r="I101" s="151"/>
      <c r="J101" s="151"/>
      <c r="K101" s="151"/>
      <c r="L101" s="151"/>
      <c r="M101" s="196"/>
      <c r="N101" s="151"/>
      <c r="O101" s="196"/>
      <c r="P101" s="152"/>
    </row>
    <row r="102" spans="1:16">
      <c r="A102" s="247">
        <v>22</v>
      </c>
      <c r="C102" s="28" t="s">
        <v>131</v>
      </c>
      <c r="D102" s="56" t="s">
        <v>37</v>
      </c>
      <c r="E102" s="42"/>
      <c r="F102" s="42"/>
      <c r="G102" s="42"/>
      <c r="H102" s="42"/>
      <c r="I102" s="42"/>
      <c r="J102" s="42"/>
      <c r="K102" s="42"/>
      <c r="L102" s="42"/>
      <c r="M102" s="24"/>
      <c r="N102" s="42"/>
      <c r="O102" s="24"/>
      <c r="P102" s="45"/>
    </row>
    <row r="103" spans="1:16">
      <c r="A103" s="247">
        <v>23</v>
      </c>
      <c r="C103" s="156" t="s">
        <v>132</v>
      </c>
      <c r="D103" s="74" t="s">
        <v>37</v>
      </c>
      <c r="E103" s="90"/>
      <c r="F103" s="90"/>
      <c r="G103" s="90"/>
      <c r="H103" s="90"/>
      <c r="I103" s="90"/>
      <c r="J103" s="90"/>
      <c r="K103" s="90"/>
      <c r="L103" s="90"/>
      <c r="M103" s="197"/>
      <c r="N103" s="90"/>
      <c r="O103" s="197"/>
      <c r="P103" s="179"/>
    </row>
    <row r="104" spans="1:16">
      <c r="A104" s="247">
        <v>24</v>
      </c>
      <c r="B104" s="204"/>
      <c r="C104" s="180" t="s">
        <v>133</v>
      </c>
      <c r="D104" s="70" t="s">
        <v>37</v>
      </c>
      <c r="E104" s="151"/>
      <c r="F104" s="151"/>
      <c r="G104" s="151"/>
      <c r="H104" s="151"/>
      <c r="I104" s="151"/>
      <c r="J104" s="151"/>
      <c r="K104" s="151"/>
      <c r="L104" s="151"/>
      <c r="M104" s="196"/>
      <c r="N104" s="151"/>
      <c r="O104" s="196"/>
      <c r="P104" s="152"/>
    </row>
    <row r="105" spans="1:16">
      <c r="A105" s="247">
        <v>25</v>
      </c>
      <c r="B105" s="204"/>
      <c r="C105" s="28" t="s">
        <v>134</v>
      </c>
      <c r="D105" s="56" t="s">
        <v>37</v>
      </c>
      <c r="E105" s="42"/>
      <c r="F105" s="42"/>
      <c r="G105" s="42"/>
      <c r="H105" s="42"/>
      <c r="I105" s="42"/>
      <c r="J105" s="42"/>
      <c r="K105" s="42"/>
      <c r="L105" s="42"/>
      <c r="M105" s="24"/>
      <c r="N105" s="42"/>
      <c r="O105" s="24"/>
      <c r="P105" s="45"/>
    </row>
    <row r="106" spans="1:16" ht="13.5" thickBot="1">
      <c r="A106" s="247">
        <v>26</v>
      </c>
      <c r="B106" s="204"/>
      <c r="C106" s="29" t="s">
        <v>135</v>
      </c>
      <c r="D106" s="85" t="s">
        <v>37</v>
      </c>
      <c r="E106" s="198"/>
      <c r="F106" s="198"/>
      <c r="G106" s="198"/>
      <c r="H106" s="198"/>
      <c r="I106" s="198"/>
      <c r="J106" s="198"/>
      <c r="K106" s="198"/>
      <c r="L106" s="198"/>
      <c r="M106" s="199"/>
      <c r="N106" s="198"/>
      <c r="O106" s="199"/>
      <c r="P106" s="200"/>
    </row>
    <row r="107" spans="1:16">
      <c r="A107" s="247">
        <v>27</v>
      </c>
      <c r="C107" s="93" t="s">
        <v>46</v>
      </c>
      <c r="D107" s="208"/>
      <c r="E107" s="170"/>
      <c r="F107" s="170"/>
      <c r="G107" s="170"/>
      <c r="H107" s="170"/>
      <c r="I107" s="170"/>
      <c r="J107" s="170"/>
      <c r="K107" s="170"/>
      <c r="L107" s="170"/>
      <c r="M107" s="170"/>
      <c r="N107" s="170"/>
      <c r="O107" s="170"/>
      <c r="P107" s="31"/>
    </row>
    <row r="108" spans="1:16" ht="14.25">
      <c r="A108" s="247">
        <v>28</v>
      </c>
      <c r="C108" s="180" t="s">
        <v>41</v>
      </c>
      <c r="D108" s="70" t="s">
        <v>0</v>
      </c>
      <c r="E108" s="151">
        <f>Config!H10</f>
        <v>100</v>
      </c>
      <c r="F108" s="178">
        <f>Config!I10</f>
        <v>100</v>
      </c>
      <c r="G108" s="178">
        <f>Config!J10</f>
        <v>100</v>
      </c>
      <c r="H108" s="178">
        <f>Config!K10</f>
        <v>100</v>
      </c>
      <c r="I108" s="178">
        <f>Config!L10</f>
        <v>100</v>
      </c>
      <c r="J108" s="178">
        <f>Config!M10</f>
        <v>100</v>
      </c>
      <c r="K108" s="178" t="str">
        <f>Config!N10</f>
        <v/>
      </c>
      <c r="L108" s="178" t="str">
        <f>Config!O10</f>
        <v/>
      </c>
      <c r="M108" s="230" t="str">
        <f>Config!P10</f>
        <v/>
      </c>
      <c r="N108" s="178" t="str">
        <f>Config!Q10</f>
        <v/>
      </c>
      <c r="O108" s="230" t="str">
        <f>Config!R10</f>
        <v/>
      </c>
      <c r="P108" s="231" t="str">
        <f>Config!S10</f>
        <v/>
      </c>
    </row>
    <row r="109" spans="1:16" ht="14.25">
      <c r="A109" s="247">
        <v>29</v>
      </c>
      <c r="C109" s="28" t="s">
        <v>47</v>
      </c>
      <c r="D109" s="56" t="s">
        <v>0</v>
      </c>
      <c r="E109" s="42"/>
      <c r="F109" s="36"/>
      <c r="G109" s="36"/>
      <c r="H109" s="36"/>
      <c r="I109" s="36"/>
      <c r="J109" s="36"/>
      <c r="K109" s="36"/>
      <c r="L109" s="36"/>
      <c r="M109" s="48"/>
      <c r="N109" s="36"/>
      <c r="O109" s="48"/>
      <c r="P109" s="40"/>
    </row>
    <row r="110" spans="1:16">
      <c r="A110" s="247">
        <v>30</v>
      </c>
      <c r="C110" s="238" t="s">
        <v>48</v>
      </c>
      <c r="D110" s="207"/>
      <c r="E110" s="33"/>
      <c r="F110" s="239"/>
      <c r="G110" s="239"/>
      <c r="H110" s="239"/>
      <c r="I110" s="239"/>
      <c r="J110" s="239"/>
      <c r="K110" s="239"/>
      <c r="L110" s="239"/>
      <c r="M110" s="241"/>
      <c r="N110" s="239"/>
      <c r="O110" s="241"/>
      <c r="P110" s="240"/>
    </row>
    <row r="111" spans="1:16">
      <c r="A111" s="247">
        <v>31</v>
      </c>
      <c r="C111" s="180" t="s">
        <v>51</v>
      </c>
      <c r="D111" s="206" t="s">
        <v>202</v>
      </c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2"/>
    </row>
    <row r="112" spans="1:16">
      <c r="A112" s="247">
        <v>32</v>
      </c>
      <c r="C112" s="28" t="s">
        <v>52</v>
      </c>
      <c r="D112" s="228" t="s">
        <v>202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5"/>
    </row>
    <row r="113" spans="1:16">
      <c r="A113" s="247">
        <v>33</v>
      </c>
      <c r="C113" s="28" t="s">
        <v>53</v>
      </c>
      <c r="D113" s="228" t="s">
        <v>202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5"/>
    </row>
    <row r="114" spans="1:16">
      <c r="A114" s="247">
        <v>34</v>
      </c>
      <c r="C114" s="28" t="s">
        <v>54</v>
      </c>
      <c r="D114" s="228" t="s">
        <v>202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5"/>
    </row>
    <row r="115" spans="1:16" ht="14.25">
      <c r="A115" s="247">
        <v>35</v>
      </c>
      <c r="C115" s="28" t="s">
        <v>50</v>
      </c>
      <c r="D115" s="56" t="s">
        <v>0</v>
      </c>
      <c r="E115" s="42">
        <f>Lighting!O21</f>
        <v>100</v>
      </c>
      <c r="F115" s="42">
        <f>Lighting!P21</f>
        <v>100</v>
      </c>
      <c r="G115" s="42">
        <f>Lighting!Q21</f>
        <v>100</v>
      </c>
      <c r="H115" s="42">
        <f>Lighting!R21</f>
        <v>100</v>
      </c>
      <c r="I115" s="42">
        <f>Lighting!S21</f>
        <v>100</v>
      </c>
      <c r="J115" s="42">
        <f>Lighting!T21</f>
        <v>100</v>
      </c>
      <c r="K115" s="42" t="str">
        <f>Lighting!U21</f>
        <v/>
      </c>
      <c r="L115" s="42" t="str">
        <f>Lighting!V21</f>
        <v/>
      </c>
      <c r="M115" s="42" t="str">
        <f>Lighting!W21</f>
        <v/>
      </c>
      <c r="N115" s="42" t="str">
        <f>Lighting!X21</f>
        <v/>
      </c>
      <c r="O115" s="42" t="str">
        <f>Lighting!Y21</f>
        <v/>
      </c>
      <c r="P115" s="45" t="str">
        <f>Lighting!Z21</f>
        <v/>
      </c>
    </row>
    <row r="116" spans="1:16">
      <c r="A116" s="247">
        <v>36</v>
      </c>
      <c r="C116" s="28" t="s">
        <v>49</v>
      </c>
      <c r="D116" s="228" t="s">
        <v>202</v>
      </c>
      <c r="E116" s="42">
        <f>Lighting!O22</f>
        <v>0.31</v>
      </c>
      <c r="F116" s="42">
        <f>Lighting!P22</f>
        <v>0.31</v>
      </c>
      <c r="G116" s="42">
        <f>Lighting!Q22</f>
        <v>0.31</v>
      </c>
      <c r="H116" s="42">
        <f>Lighting!R22</f>
        <v>0.31</v>
      </c>
      <c r="I116" s="42">
        <f>Lighting!S22</f>
        <v>0.31</v>
      </c>
      <c r="J116" s="42">
        <f>Lighting!T22</f>
        <v>0.31</v>
      </c>
      <c r="K116" s="42" t="str">
        <f>Lighting!U22</f>
        <v/>
      </c>
      <c r="L116" s="42" t="str">
        <f>Lighting!V22</f>
        <v/>
      </c>
      <c r="M116" s="42" t="str">
        <f>Lighting!W22</f>
        <v/>
      </c>
      <c r="N116" s="42" t="str">
        <f>Lighting!X22</f>
        <v/>
      </c>
      <c r="O116" s="42" t="str">
        <f>Lighting!Y22</f>
        <v/>
      </c>
      <c r="P116" s="45" t="str">
        <f>Lighting!Z22</f>
        <v/>
      </c>
    </row>
    <row r="117" spans="1:16">
      <c r="A117" s="247">
        <v>37</v>
      </c>
      <c r="C117" s="28" t="s">
        <v>2</v>
      </c>
      <c r="D117" s="228"/>
      <c r="E117" s="42"/>
      <c r="F117" s="42"/>
      <c r="G117" s="42"/>
      <c r="H117" s="42"/>
      <c r="I117" s="42"/>
      <c r="J117" s="42"/>
      <c r="K117" s="42"/>
      <c r="L117" s="42"/>
      <c r="M117" s="24"/>
      <c r="N117" s="42"/>
      <c r="O117" s="24"/>
      <c r="P117" s="45"/>
    </row>
    <row r="118" spans="1:16">
      <c r="A118" s="247">
        <v>38</v>
      </c>
      <c r="C118" s="238" t="s">
        <v>55</v>
      </c>
      <c r="D118" s="207"/>
      <c r="E118" s="33"/>
      <c r="F118" s="239"/>
      <c r="G118" s="239"/>
      <c r="H118" s="239"/>
      <c r="I118" s="239"/>
      <c r="J118" s="239"/>
      <c r="K118" s="239"/>
      <c r="L118" s="239"/>
      <c r="M118" s="241"/>
      <c r="N118" s="239"/>
      <c r="O118" s="241"/>
      <c r="P118" s="240"/>
    </row>
    <row r="119" spans="1:16">
      <c r="A119" s="247">
        <v>39</v>
      </c>
      <c r="C119" s="28" t="s">
        <v>51</v>
      </c>
      <c r="D119" s="228" t="s">
        <v>202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5"/>
    </row>
    <row r="120" spans="1:16" ht="13.5" thickBot="1">
      <c r="A120" s="247">
        <v>40</v>
      </c>
      <c r="C120" s="29" t="s">
        <v>52</v>
      </c>
      <c r="D120" s="233" t="s">
        <v>202</v>
      </c>
      <c r="E120" s="198"/>
      <c r="F120" s="198"/>
      <c r="G120" s="198"/>
      <c r="H120" s="198"/>
      <c r="I120" s="198"/>
      <c r="J120" s="198"/>
      <c r="K120" s="198"/>
      <c r="L120" s="198"/>
      <c r="M120" s="198"/>
      <c r="N120" s="198"/>
      <c r="O120" s="198"/>
      <c r="P120" s="200"/>
    </row>
    <row r="121" spans="1:16">
      <c r="A121" s="247"/>
      <c r="C121" s="2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</row>
    <row r="122" spans="1:16" ht="13.5" thickBot="1">
      <c r="A122" s="247"/>
      <c r="C122" s="226" t="s">
        <v>137</v>
      </c>
      <c r="D122" s="209"/>
    </row>
    <row r="123" spans="1:16" ht="13.5" thickBot="1">
      <c r="A123" s="247">
        <v>0</v>
      </c>
      <c r="C123" s="30" t="s">
        <v>111</v>
      </c>
      <c r="D123" s="170"/>
      <c r="E123" s="192">
        <v>1</v>
      </c>
      <c r="F123" s="192">
        <v>2</v>
      </c>
      <c r="G123" s="192">
        <v>3</v>
      </c>
      <c r="H123" s="192">
        <v>4</v>
      </c>
      <c r="I123" s="192">
        <v>5</v>
      </c>
      <c r="J123" s="192">
        <v>6</v>
      </c>
      <c r="K123" s="192">
        <v>7</v>
      </c>
      <c r="L123" s="193">
        <v>8</v>
      </c>
      <c r="N123" s="5"/>
      <c r="O123" s="186"/>
    </row>
    <row r="124" spans="1:16">
      <c r="A124" s="247">
        <v>1</v>
      </c>
      <c r="C124" s="27" t="s">
        <v>128</v>
      </c>
      <c r="D124" s="96" t="s">
        <v>109</v>
      </c>
      <c r="E124" s="171"/>
      <c r="F124" s="170"/>
      <c r="G124" s="170"/>
      <c r="H124" s="170"/>
      <c r="I124" s="170"/>
      <c r="J124" s="170"/>
      <c r="K124" s="170"/>
      <c r="L124" s="31"/>
      <c r="N124" s="5"/>
      <c r="O124" s="186"/>
    </row>
    <row r="125" spans="1:16">
      <c r="A125" s="247">
        <v>2</v>
      </c>
      <c r="C125" s="194" t="s">
        <v>185</v>
      </c>
      <c r="D125" s="72" t="s">
        <v>202</v>
      </c>
      <c r="E125" s="35" t="str">
        <f>Config!H29</f>
        <v>Wing 1</v>
      </c>
      <c r="F125" s="35" t="str">
        <f>Config!I29</f>
        <v>Wing 2</v>
      </c>
      <c r="G125" s="35" t="str">
        <f>Config!J29</f>
        <v>Left Tail</v>
      </c>
      <c r="H125" s="35" t="str">
        <f>Config!K29</f>
        <v>P-Right</v>
      </c>
      <c r="I125" s="35" t="str">
        <f>Config!L29</f>
        <v>P-Left</v>
      </c>
      <c r="J125" s="35" t="str">
        <f>Config!M29</f>
        <v>Panel 6</v>
      </c>
      <c r="K125" s="35" t="str">
        <f>Config!N29</f>
        <v>Panel 7</v>
      </c>
      <c r="L125" s="39" t="str">
        <f>Config!O29</f>
        <v>Panel 8</v>
      </c>
      <c r="N125" s="5"/>
      <c r="O125" s="186"/>
    </row>
    <row r="126" spans="1:16">
      <c r="A126" s="247">
        <v>3</v>
      </c>
      <c r="C126" s="38" t="s">
        <v>167</v>
      </c>
      <c r="D126" s="56" t="s">
        <v>36</v>
      </c>
      <c r="E126" s="35" t="b">
        <f>Config!H30</f>
        <v>0</v>
      </c>
      <c r="F126" s="35" t="b">
        <f>Config!I30</f>
        <v>0</v>
      </c>
      <c r="G126" s="35" t="b">
        <f>Config!J30</f>
        <v>0</v>
      </c>
      <c r="H126" s="35" t="b">
        <f>Config!K30</f>
        <v>0</v>
      </c>
      <c r="I126" s="35" t="b">
        <f>Config!L30</f>
        <v>0</v>
      </c>
      <c r="J126" s="35" t="b">
        <f>Config!M30</f>
        <v>0</v>
      </c>
      <c r="K126" s="35" t="b">
        <f>Config!N30</f>
        <v>0</v>
      </c>
      <c r="L126" s="39" t="b">
        <f>Config!O30</f>
        <v>0</v>
      </c>
      <c r="M126" s="175"/>
      <c r="N126" s="175"/>
      <c r="O126" s="187"/>
      <c r="P126" s="175"/>
    </row>
    <row r="127" spans="1:16">
      <c r="A127" s="247">
        <v>4</v>
      </c>
      <c r="C127" s="28" t="s">
        <v>72</v>
      </c>
      <c r="D127" s="248" t="s">
        <v>202</v>
      </c>
      <c r="E127" s="36" t="str">
        <f>Config!H31</f>
        <v/>
      </c>
      <c r="F127" s="36" t="str">
        <f>Config!I31</f>
        <v/>
      </c>
      <c r="G127" s="36" t="str">
        <f>Config!J31</f>
        <v/>
      </c>
      <c r="H127" s="36" t="str">
        <f>Config!K31</f>
        <v/>
      </c>
      <c r="I127" s="36" t="str">
        <f>Config!L31</f>
        <v/>
      </c>
      <c r="J127" s="36" t="str">
        <f>Config!M31</f>
        <v/>
      </c>
      <c r="K127" s="36" t="str">
        <f>Config!N31</f>
        <v/>
      </c>
      <c r="L127" s="40" t="str">
        <f>Config!O31</f>
        <v/>
      </c>
      <c r="M127" s="176"/>
      <c r="N127" s="176"/>
      <c r="O127" s="188"/>
      <c r="P127" s="176"/>
    </row>
    <row r="128" spans="1:16">
      <c r="A128" s="247">
        <v>5</v>
      </c>
      <c r="C128" s="180" t="s">
        <v>42</v>
      </c>
      <c r="D128" s="71" t="s">
        <v>159</v>
      </c>
      <c r="E128" s="151" t="str">
        <f>Config!H33</f>
        <v/>
      </c>
      <c r="F128" s="151" t="str">
        <f>Config!I33</f>
        <v/>
      </c>
      <c r="G128" s="151" t="str">
        <f>Config!J33</f>
        <v/>
      </c>
      <c r="H128" s="151" t="str">
        <f>Config!K33</f>
        <v/>
      </c>
      <c r="I128" s="151" t="str">
        <f>Config!L33</f>
        <v/>
      </c>
      <c r="J128" s="151" t="str">
        <f>Config!M33</f>
        <v/>
      </c>
      <c r="K128" s="151" t="str">
        <f>Config!N33</f>
        <v/>
      </c>
      <c r="L128" s="152" t="str">
        <f>Config!O33</f>
        <v/>
      </c>
      <c r="M128" s="20"/>
      <c r="N128" s="20"/>
      <c r="O128" s="188"/>
      <c r="P128" s="20"/>
    </row>
    <row r="129" spans="1:16">
      <c r="A129" s="247">
        <v>6</v>
      </c>
      <c r="C129" s="28" t="s">
        <v>43</v>
      </c>
      <c r="D129" s="72" t="s">
        <v>159</v>
      </c>
      <c r="E129" s="42" t="str">
        <f>Config!H34</f>
        <v/>
      </c>
      <c r="F129" s="42" t="str">
        <f>Config!I34</f>
        <v/>
      </c>
      <c r="G129" s="42" t="str">
        <f>Config!J34</f>
        <v/>
      </c>
      <c r="H129" s="42" t="str">
        <f>Config!K34</f>
        <v/>
      </c>
      <c r="I129" s="42" t="str">
        <f>Config!L34</f>
        <v/>
      </c>
      <c r="J129" s="42" t="str">
        <f>Config!M34</f>
        <v/>
      </c>
      <c r="K129" s="42" t="str">
        <f>Config!N34</f>
        <v/>
      </c>
      <c r="L129" s="45" t="str">
        <f>Config!O34</f>
        <v/>
      </c>
      <c r="M129" s="20"/>
      <c r="N129" s="20"/>
      <c r="O129" s="188"/>
      <c r="P129" s="20"/>
    </row>
    <row r="130" spans="1:16">
      <c r="A130" s="247">
        <v>7</v>
      </c>
      <c r="C130" s="156" t="s">
        <v>44</v>
      </c>
      <c r="D130" s="73" t="s">
        <v>37</v>
      </c>
      <c r="E130" s="90" t="str">
        <f>Config!H35</f>
        <v/>
      </c>
      <c r="F130" s="90" t="str">
        <f>Config!I35</f>
        <v/>
      </c>
      <c r="G130" s="90" t="str">
        <f>Config!J35</f>
        <v/>
      </c>
      <c r="H130" s="90" t="str">
        <f>Config!K35</f>
        <v/>
      </c>
      <c r="I130" s="90" t="str">
        <f>Config!L35</f>
        <v/>
      </c>
      <c r="J130" s="90" t="str">
        <f>Config!M35</f>
        <v/>
      </c>
      <c r="K130" s="90" t="str">
        <f>Config!N35</f>
        <v/>
      </c>
      <c r="L130" s="179" t="str">
        <f>Config!O35</f>
        <v/>
      </c>
      <c r="M130" s="20"/>
      <c r="N130" s="20"/>
      <c r="O130" s="188"/>
      <c r="P130" s="20"/>
    </row>
    <row r="131" spans="1:16">
      <c r="A131" s="247">
        <v>8</v>
      </c>
      <c r="C131" s="180" t="s">
        <v>113</v>
      </c>
      <c r="D131" s="71" t="s">
        <v>37</v>
      </c>
      <c r="E131" s="153" t="str">
        <f>Config!H36</f>
        <v/>
      </c>
      <c r="F131" s="153" t="str">
        <f>Config!I36</f>
        <v/>
      </c>
      <c r="G131" s="153" t="str">
        <f>Config!J36</f>
        <v/>
      </c>
      <c r="H131" s="153" t="str">
        <f>Config!K36</f>
        <v/>
      </c>
      <c r="I131" s="153" t="str">
        <f>Config!L36</f>
        <v/>
      </c>
      <c r="J131" s="153" t="str">
        <f>Config!M36</f>
        <v/>
      </c>
      <c r="K131" s="153" t="str">
        <f>Config!N36</f>
        <v/>
      </c>
      <c r="L131" s="155" t="str">
        <f>Config!O36</f>
        <v/>
      </c>
      <c r="M131" s="166"/>
      <c r="N131" s="166"/>
      <c r="O131" s="166"/>
      <c r="P131" s="166"/>
    </row>
    <row r="132" spans="1:16">
      <c r="A132" s="247">
        <v>9</v>
      </c>
      <c r="C132" s="28" t="s">
        <v>114</v>
      </c>
      <c r="D132" s="56" t="s">
        <v>37</v>
      </c>
      <c r="E132" s="46" t="str">
        <f>Config!H37</f>
        <v/>
      </c>
      <c r="F132" s="46" t="str">
        <f>Config!I37</f>
        <v/>
      </c>
      <c r="G132" s="46" t="str">
        <f>Config!J37</f>
        <v/>
      </c>
      <c r="H132" s="46" t="str">
        <f>Config!K37</f>
        <v/>
      </c>
      <c r="I132" s="46" t="str">
        <f>Config!L37</f>
        <v/>
      </c>
      <c r="J132" s="46" t="str">
        <f>Config!M37</f>
        <v/>
      </c>
      <c r="K132" s="46" t="str">
        <f>Config!N37</f>
        <v/>
      </c>
      <c r="L132" s="49" t="str">
        <f>Config!O37</f>
        <v/>
      </c>
      <c r="M132" s="166"/>
      <c r="N132" s="166"/>
      <c r="O132" s="166"/>
      <c r="P132" s="166"/>
    </row>
    <row r="133" spans="1:16">
      <c r="A133" s="247">
        <v>10</v>
      </c>
      <c r="C133" s="156" t="s">
        <v>115</v>
      </c>
      <c r="D133" s="74" t="s">
        <v>202</v>
      </c>
      <c r="E133" s="157" t="str">
        <f>Config!H38</f>
        <v/>
      </c>
      <c r="F133" s="157" t="str">
        <f>Config!I38</f>
        <v/>
      </c>
      <c r="G133" s="157" t="str">
        <f>Config!J38</f>
        <v/>
      </c>
      <c r="H133" s="157" t="str">
        <f>Config!K38</f>
        <v/>
      </c>
      <c r="I133" s="157" t="str">
        <f>Config!L38</f>
        <v/>
      </c>
      <c r="J133" s="157" t="str">
        <f>Config!M38</f>
        <v/>
      </c>
      <c r="K133" s="157" t="str">
        <f>Config!N38</f>
        <v/>
      </c>
      <c r="L133" s="159" t="str">
        <f>Config!O38</f>
        <v/>
      </c>
      <c r="M133" s="166"/>
      <c r="N133" s="166"/>
      <c r="O133" s="166"/>
      <c r="P133" s="166"/>
    </row>
    <row r="134" spans="1:16">
      <c r="A134" s="247">
        <v>11</v>
      </c>
      <c r="B134" s="204"/>
      <c r="C134" s="180" t="s">
        <v>125</v>
      </c>
      <c r="D134" s="70" t="s">
        <v>202</v>
      </c>
      <c r="E134" s="50" t="str">
        <f>Config!H39</f>
        <v/>
      </c>
      <c r="F134" s="50" t="str">
        <f>Config!I39</f>
        <v/>
      </c>
      <c r="G134" s="50" t="str">
        <f>Config!J39</f>
        <v/>
      </c>
      <c r="H134" s="50" t="str">
        <f>Config!K39</f>
        <v/>
      </c>
      <c r="I134" s="50" t="str">
        <f>Config!L39</f>
        <v/>
      </c>
      <c r="J134" s="50" t="str">
        <f>Config!M39</f>
        <v/>
      </c>
      <c r="K134" s="50" t="str">
        <f>Config!N39</f>
        <v/>
      </c>
      <c r="L134" s="169" t="str">
        <f>Config!O39</f>
        <v/>
      </c>
      <c r="M134" s="177"/>
      <c r="N134" s="177"/>
      <c r="O134" s="177"/>
      <c r="P134" s="177"/>
    </row>
    <row r="135" spans="1:16">
      <c r="A135" s="247">
        <v>12</v>
      </c>
      <c r="B135" s="204"/>
      <c r="C135" s="28" t="s">
        <v>126</v>
      </c>
      <c r="D135" s="56" t="s">
        <v>202</v>
      </c>
      <c r="E135" s="43" t="str">
        <f>Config!H40</f>
        <v/>
      </c>
      <c r="F135" s="43" t="str">
        <f>Config!I40</f>
        <v/>
      </c>
      <c r="G135" s="43" t="str">
        <f>Config!J40</f>
        <v/>
      </c>
      <c r="H135" s="43" t="str">
        <f>Config!K40</f>
        <v/>
      </c>
      <c r="I135" s="43" t="str">
        <f>Config!L40</f>
        <v/>
      </c>
      <c r="J135" s="43" t="str">
        <f>Config!M40</f>
        <v/>
      </c>
      <c r="K135" s="43" t="str">
        <f>Config!N40</f>
        <v/>
      </c>
      <c r="L135" s="44" t="str">
        <f>Config!O40</f>
        <v/>
      </c>
      <c r="M135" s="177"/>
      <c r="N135" s="177"/>
      <c r="O135" s="177"/>
      <c r="P135" s="177"/>
    </row>
    <row r="136" spans="1:16">
      <c r="A136" s="247">
        <v>13</v>
      </c>
      <c r="B136" s="204"/>
      <c r="C136" s="156" t="s">
        <v>127</v>
      </c>
      <c r="D136" s="74" t="s">
        <v>37</v>
      </c>
      <c r="E136" s="161" t="str">
        <f>Config!H41</f>
        <v/>
      </c>
      <c r="F136" s="161" t="str">
        <f>Config!I41</f>
        <v/>
      </c>
      <c r="G136" s="161" t="str">
        <f>Config!J41</f>
        <v/>
      </c>
      <c r="H136" s="161" t="str">
        <f>Config!K41</f>
        <v/>
      </c>
      <c r="I136" s="161" t="str">
        <f>Config!L41</f>
        <v/>
      </c>
      <c r="J136" s="161" t="str">
        <f>Config!M41</f>
        <v/>
      </c>
      <c r="K136" s="161" t="str">
        <f>Config!N41</f>
        <v/>
      </c>
      <c r="L136" s="162" t="str">
        <f>Config!O41</f>
        <v/>
      </c>
      <c r="M136" s="177"/>
      <c r="N136" s="177"/>
      <c r="O136" s="177"/>
      <c r="P136" s="177"/>
    </row>
    <row r="137" spans="1:16">
      <c r="A137" s="247">
        <v>14</v>
      </c>
      <c r="C137" s="28" t="s">
        <v>119</v>
      </c>
      <c r="D137" s="56" t="s">
        <v>37</v>
      </c>
      <c r="E137" s="46" t="str">
        <f>Config!H42</f>
        <v/>
      </c>
      <c r="F137" s="46" t="str">
        <f>Config!I42</f>
        <v/>
      </c>
      <c r="G137" s="46" t="str">
        <f>Config!J42</f>
        <v/>
      </c>
      <c r="H137" s="46" t="str">
        <f>Config!K42</f>
        <v/>
      </c>
      <c r="I137" s="46" t="str">
        <f>Config!L42</f>
        <v/>
      </c>
      <c r="J137" s="46" t="str">
        <f>Config!M42</f>
        <v/>
      </c>
      <c r="K137" s="46" t="str">
        <f>Config!N42</f>
        <v/>
      </c>
      <c r="L137" s="49" t="str">
        <f>Config!O42</f>
        <v/>
      </c>
      <c r="M137" s="166"/>
      <c r="N137" s="166"/>
      <c r="O137" s="166"/>
      <c r="P137" s="166"/>
    </row>
    <row r="138" spans="1:16">
      <c r="A138" s="247">
        <v>15</v>
      </c>
      <c r="C138" s="28" t="s">
        <v>120</v>
      </c>
      <c r="D138" s="56" t="s">
        <v>37</v>
      </c>
      <c r="E138" s="46" t="str">
        <f>Config!H43</f>
        <v/>
      </c>
      <c r="F138" s="46" t="str">
        <f>Config!I43</f>
        <v/>
      </c>
      <c r="G138" s="46" t="str">
        <f>Config!J43</f>
        <v/>
      </c>
      <c r="H138" s="46" t="str">
        <f>Config!K43</f>
        <v/>
      </c>
      <c r="I138" s="46" t="str">
        <f>Config!L43</f>
        <v/>
      </c>
      <c r="J138" s="46" t="str">
        <f>Config!M43</f>
        <v/>
      </c>
      <c r="K138" s="46" t="str">
        <f>Config!N43</f>
        <v/>
      </c>
      <c r="L138" s="49" t="str">
        <f>Config!O43</f>
        <v/>
      </c>
      <c r="M138" s="166"/>
      <c r="N138" s="166"/>
      <c r="O138" s="166"/>
      <c r="P138" s="166"/>
    </row>
    <row r="139" spans="1:16">
      <c r="A139" s="247">
        <v>16</v>
      </c>
      <c r="C139" s="156" t="s">
        <v>121</v>
      </c>
      <c r="D139" s="74" t="s">
        <v>37</v>
      </c>
      <c r="E139" s="157" t="str">
        <f>Config!H44</f>
        <v/>
      </c>
      <c r="F139" s="157" t="str">
        <f>Config!I44</f>
        <v/>
      </c>
      <c r="G139" s="157" t="str">
        <f>Config!J44</f>
        <v/>
      </c>
      <c r="H139" s="157" t="str">
        <f>Config!K44</f>
        <v/>
      </c>
      <c r="I139" s="157" t="str">
        <f>Config!L44</f>
        <v/>
      </c>
      <c r="J139" s="157" t="str">
        <f>Config!M44</f>
        <v/>
      </c>
      <c r="K139" s="157" t="str">
        <f>Config!N44</f>
        <v/>
      </c>
      <c r="L139" s="159" t="str">
        <f>Config!O44</f>
        <v/>
      </c>
      <c r="M139" s="166"/>
      <c r="N139" s="166"/>
      <c r="O139" s="166"/>
      <c r="P139" s="166"/>
    </row>
    <row r="140" spans="1:16">
      <c r="A140" s="247">
        <v>17</v>
      </c>
      <c r="B140" s="204"/>
      <c r="C140" s="28" t="s">
        <v>122</v>
      </c>
      <c r="D140" s="56" t="s">
        <v>37</v>
      </c>
      <c r="E140" s="46" t="str">
        <f>Config!H45</f>
        <v/>
      </c>
      <c r="F140" s="46" t="str">
        <f>Config!I45</f>
        <v/>
      </c>
      <c r="G140" s="46" t="str">
        <f>Config!J45</f>
        <v/>
      </c>
      <c r="H140" s="46" t="str">
        <f>Config!K45</f>
        <v/>
      </c>
      <c r="I140" s="46" t="str">
        <f>Config!L45</f>
        <v/>
      </c>
      <c r="J140" s="46" t="str">
        <f>Config!M45</f>
        <v/>
      </c>
      <c r="K140" s="46" t="str">
        <f>Config!N45</f>
        <v/>
      </c>
      <c r="L140" s="49" t="str">
        <f>Config!O45</f>
        <v/>
      </c>
      <c r="M140" s="166"/>
      <c r="N140" s="166"/>
      <c r="O140" s="166"/>
      <c r="P140" s="166"/>
    </row>
    <row r="141" spans="1:16">
      <c r="A141" s="247">
        <v>18</v>
      </c>
      <c r="B141" s="204"/>
      <c r="C141" s="28" t="s">
        <v>123</v>
      </c>
      <c r="D141" s="56" t="s">
        <v>37</v>
      </c>
      <c r="E141" s="46" t="str">
        <f>Config!H46</f>
        <v/>
      </c>
      <c r="F141" s="46" t="str">
        <f>Config!I46</f>
        <v/>
      </c>
      <c r="G141" s="46" t="str">
        <f>Config!J46</f>
        <v/>
      </c>
      <c r="H141" s="46" t="str">
        <f>Config!K46</f>
        <v/>
      </c>
      <c r="I141" s="46" t="str">
        <f>Config!L46</f>
        <v/>
      </c>
      <c r="J141" s="46" t="str">
        <f>Config!M46</f>
        <v/>
      </c>
      <c r="K141" s="46" t="str">
        <f>Config!N46</f>
        <v/>
      </c>
      <c r="L141" s="49" t="str">
        <f>Config!O46</f>
        <v/>
      </c>
      <c r="M141" s="166"/>
      <c r="N141" s="166"/>
      <c r="O141" s="166"/>
      <c r="P141" s="166"/>
    </row>
    <row r="142" spans="1:16" ht="13.5" thickBot="1">
      <c r="A142" s="247">
        <v>19</v>
      </c>
      <c r="B142" s="204"/>
      <c r="C142" s="29" t="s">
        <v>124</v>
      </c>
      <c r="D142" s="85"/>
      <c r="E142" s="167" t="str">
        <f>Config!H47</f>
        <v/>
      </c>
      <c r="F142" s="167" t="str">
        <f>Config!I47</f>
        <v/>
      </c>
      <c r="G142" s="167" t="str">
        <f>Config!J47</f>
        <v/>
      </c>
      <c r="H142" s="167" t="str">
        <f>Config!K47</f>
        <v/>
      </c>
      <c r="I142" s="167" t="str">
        <f>Config!L47</f>
        <v/>
      </c>
      <c r="J142" s="167" t="str">
        <f>Config!M47</f>
        <v/>
      </c>
      <c r="K142" s="167" t="str">
        <f>Config!N47</f>
        <v/>
      </c>
      <c r="L142" s="168" t="str">
        <f>Config!O47</f>
        <v/>
      </c>
      <c r="M142" s="166"/>
      <c r="N142" s="166"/>
      <c r="O142" s="166"/>
      <c r="P142" s="166"/>
    </row>
    <row r="143" spans="1:16">
      <c r="A143" s="247">
        <v>20</v>
      </c>
      <c r="C143" s="27" t="s">
        <v>129</v>
      </c>
      <c r="D143" s="174" t="s">
        <v>17</v>
      </c>
      <c r="E143" s="172"/>
      <c r="F143" s="173"/>
      <c r="G143" s="173"/>
      <c r="H143" s="173"/>
      <c r="I143" s="173"/>
      <c r="J143" s="173"/>
      <c r="K143" s="173"/>
      <c r="L143" s="138"/>
    </row>
    <row r="144" spans="1:16">
      <c r="A144" s="247">
        <v>21</v>
      </c>
      <c r="C144" s="202" t="s">
        <v>216</v>
      </c>
      <c r="D144" s="207" t="s">
        <v>37</v>
      </c>
      <c r="E144" s="201"/>
      <c r="F144" s="201"/>
      <c r="G144" s="201"/>
      <c r="H144" s="201"/>
      <c r="I144" s="201"/>
      <c r="J144" s="201"/>
      <c r="K144" s="201"/>
      <c r="L144" s="203"/>
    </row>
    <row r="145" spans="1:17">
      <c r="A145" s="247">
        <v>22</v>
      </c>
      <c r="C145" s="180" t="s">
        <v>130</v>
      </c>
      <c r="D145" s="70" t="s">
        <v>37</v>
      </c>
      <c r="E145" s="151"/>
      <c r="F145" s="151"/>
      <c r="G145" s="151"/>
      <c r="H145" s="151"/>
      <c r="I145" s="151"/>
      <c r="J145" s="151"/>
      <c r="K145" s="151"/>
      <c r="L145" s="152"/>
    </row>
    <row r="146" spans="1:17">
      <c r="A146" s="247">
        <v>23</v>
      </c>
      <c r="C146" s="28" t="s">
        <v>131</v>
      </c>
      <c r="D146" s="56" t="s">
        <v>37</v>
      </c>
      <c r="E146" s="42"/>
      <c r="F146" s="42"/>
      <c r="G146" s="42"/>
      <c r="H146" s="42"/>
      <c r="I146" s="42"/>
      <c r="J146" s="42"/>
      <c r="K146" s="42"/>
      <c r="L146" s="45"/>
    </row>
    <row r="147" spans="1:17">
      <c r="A147" s="247">
        <v>24</v>
      </c>
      <c r="C147" s="156" t="s">
        <v>132</v>
      </c>
      <c r="D147" s="74" t="s">
        <v>37</v>
      </c>
      <c r="E147" s="90"/>
      <c r="F147" s="90"/>
      <c r="G147" s="90"/>
      <c r="H147" s="90"/>
      <c r="I147" s="90"/>
      <c r="J147" s="90"/>
      <c r="K147" s="90"/>
      <c r="L147" s="179"/>
    </row>
    <row r="148" spans="1:17">
      <c r="A148" s="247">
        <v>25</v>
      </c>
      <c r="B148" s="204"/>
      <c r="C148" s="180" t="s">
        <v>133</v>
      </c>
      <c r="D148" s="70" t="s">
        <v>37</v>
      </c>
      <c r="E148" s="151"/>
      <c r="F148" s="151"/>
      <c r="G148" s="151"/>
      <c r="H148" s="151"/>
      <c r="I148" s="151"/>
      <c r="J148" s="151"/>
      <c r="K148" s="151"/>
      <c r="L148" s="152"/>
    </row>
    <row r="149" spans="1:17">
      <c r="A149" s="247">
        <v>26</v>
      </c>
      <c r="B149" s="204"/>
      <c r="C149" s="28" t="s">
        <v>134</v>
      </c>
      <c r="D149" s="56" t="s">
        <v>37</v>
      </c>
      <c r="E149" s="42"/>
      <c r="F149" s="42"/>
      <c r="G149" s="42"/>
      <c r="H149" s="42"/>
      <c r="I149" s="42"/>
      <c r="J149" s="42"/>
      <c r="K149" s="42"/>
      <c r="L149" s="45"/>
    </row>
    <row r="150" spans="1:17" ht="13.5" thickBot="1">
      <c r="A150" s="247">
        <v>27</v>
      </c>
      <c r="B150" s="204"/>
      <c r="C150" s="29" t="s">
        <v>135</v>
      </c>
      <c r="D150" s="85"/>
      <c r="E150" s="198"/>
      <c r="F150" s="198"/>
      <c r="G150" s="198"/>
      <c r="H150" s="198"/>
      <c r="I150" s="198"/>
      <c r="J150" s="198"/>
      <c r="K150" s="198"/>
      <c r="L150" s="200"/>
      <c r="M150" s="2"/>
      <c r="N150" s="2"/>
      <c r="O150" s="2"/>
      <c r="P150" s="2"/>
      <c r="Q150" s="2"/>
    </row>
    <row r="151" spans="1:17">
      <c r="A151" s="247">
        <v>28</v>
      </c>
      <c r="C151" s="93" t="s">
        <v>46</v>
      </c>
      <c r="D151" s="208"/>
      <c r="E151" s="170"/>
      <c r="F151" s="170"/>
      <c r="G151" s="170"/>
      <c r="H151" s="170"/>
      <c r="I151" s="170"/>
      <c r="J151" s="170"/>
      <c r="K151" s="170"/>
      <c r="L151" s="31"/>
      <c r="M151" s="20"/>
      <c r="N151" s="20"/>
      <c r="O151" s="20"/>
      <c r="P151" s="20"/>
      <c r="Q151" s="2"/>
    </row>
    <row r="152" spans="1:17" ht="14.25">
      <c r="A152" s="247">
        <v>29</v>
      </c>
      <c r="C152" s="180" t="s">
        <v>41</v>
      </c>
      <c r="D152" s="70" t="s">
        <v>0</v>
      </c>
      <c r="E152" s="151" t="str">
        <f>Config!H32</f>
        <v/>
      </c>
      <c r="F152" s="178" t="str">
        <f>Config!I32</f>
        <v/>
      </c>
      <c r="G152" s="178" t="str">
        <f>Config!J32</f>
        <v/>
      </c>
      <c r="H152" s="178" t="str">
        <f>Config!K32</f>
        <v/>
      </c>
      <c r="I152" s="178" t="str">
        <f>Config!L32</f>
        <v/>
      </c>
      <c r="J152" s="178" t="str">
        <f>Config!M32</f>
        <v/>
      </c>
      <c r="K152" s="178" t="str">
        <f>Config!N32</f>
        <v/>
      </c>
      <c r="L152" s="231" t="str">
        <f>Config!O32</f>
        <v/>
      </c>
      <c r="M152" s="176" t="s">
        <v>210</v>
      </c>
      <c r="N152" s="176" t="s">
        <v>210</v>
      </c>
      <c r="O152" s="176" t="s">
        <v>210</v>
      </c>
      <c r="P152" s="176" t="s">
        <v>210</v>
      </c>
      <c r="Q152" s="2"/>
    </row>
    <row r="153" spans="1:17" ht="14.25">
      <c r="A153" s="247">
        <v>30</v>
      </c>
      <c r="C153" s="28" t="s">
        <v>47</v>
      </c>
      <c r="D153" s="56" t="s">
        <v>0</v>
      </c>
      <c r="E153" s="42"/>
      <c r="F153" s="36"/>
      <c r="G153" s="36"/>
      <c r="H153" s="36"/>
      <c r="I153" s="36"/>
      <c r="J153" s="36"/>
      <c r="K153" s="36"/>
      <c r="L153" s="40"/>
      <c r="M153" s="176"/>
      <c r="N153" s="176"/>
      <c r="O153" s="176"/>
      <c r="P153" s="176"/>
      <c r="Q153" s="2"/>
    </row>
    <row r="154" spans="1:17">
      <c r="A154" s="247">
        <v>31</v>
      </c>
      <c r="C154" s="238" t="s">
        <v>48</v>
      </c>
      <c r="D154" s="207"/>
      <c r="E154" s="33"/>
      <c r="F154" s="239"/>
      <c r="G154" s="239"/>
      <c r="H154" s="239"/>
      <c r="I154" s="239"/>
      <c r="J154" s="239"/>
      <c r="K154" s="239"/>
      <c r="L154" s="240"/>
      <c r="M154" s="176"/>
      <c r="N154" s="176"/>
      <c r="O154" s="176"/>
      <c r="P154" s="176"/>
      <c r="Q154" s="2"/>
    </row>
    <row r="155" spans="1:17">
      <c r="A155" s="247">
        <v>32</v>
      </c>
      <c r="C155" s="180" t="s">
        <v>51</v>
      </c>
      <c r="D155" s="206" t="s">
        <v>202</v>
      </c>
      <c r="E155" s="151"/>
      <c r="F155" s="151"/>
      <c r="G155" s="151"/>
      <c r="H155" s="151"/>
      <c r="I155" s="151"/>
      <c r="J155" s="151"/>
      <c r="K155" s="151"/>
      <c r="L155" s="152"/>
      <c r="M155" s="20"/>
      <c r="N155" s="20"/>
      <c r="O155" s="20"/>
      <c r="P155" s="20"/>
      <c r="Q155" s="2"/>
    </row>
    <row r="156" spans="1:17">
      <c r="A156" s="247">
        <v>33</v>
      </c>
      <c r="C156" s="28" t="s">
        <v>52</v>
      </c>
      <c r="D156" s="228" t="s">
        <v>202</v>
      </c>
      <c r="E156" s="42"/>
      <c r="F156" s="42"/>
      <c r="G156" s="42"/>
      <c r="H156" s="42"/>
      <c r="I156" s="42"/>
      <c r="J156" s="42"/>
      <c r="K156" s="42"/>
      <c r="L156" s="45"/>
      <c r="M156" s="20"/>
      <c r="N156" s="20"/>
      <c r="O156" s="20"/>
      <c r="P156" s="20"/>
      <c r="Q156" s="2"/>
    </row>
    <row r="157" spans="1:17">
      <c r="A157" s="247">
        <v>34</v>
      </c>
      <c r="C157" s="28" t="s">
        <v>53</v>
      </c>
      <c r="D157" s="228" t="s">
        <v>202</v>
      </c>
      <c r="E157" s="42"/>
      <c r="F157" s="42"/>
      <c r="G157" s="42"/>
      <c r="H157" s="42"/>
      <c r="I157" s="42"/>
      <c r="J157" s="42"/>
      <c r="K157" s="42"/>
      <c r="L157" s="45"/>
      <c r="M157" s="20"/>
      <c r="N157" s="20"/>
      <c r="O157" s="20"/>
      <c r="P157" s="20"/>
      <c r="Q157" s="2"/>
    </row>
    <row r="158" spans="1:17">
      <c r="A158" s="247">
        <v>35</v>
      </c>
      <c r="C158" s="28" t="s">
        <v>54</v>
      </c>
      <c r="D158" s="228" t="s">
        <v>202</v>
      </c>
      <c r="E158" s="42"/>
      <c r="F158" s="42"/>
      <c r="G158" s="42"/>
      <c r="H158" s="42"/>
      <c r="I158" s="42"/>
      <c r="J158" s="42"/>
      <c r="K158" s="42"/>
      <c r="L158" s="45"/>
      <c r="M158" s="20"/>
      <c r="N158" s="20"/>
      <c r="O158" s="20"/>
      <c r="P158" s="20"/>
      <c r="Q158" s="2"/>
    </row>
    <row r="159" spans="1:17" ht="14.25">
      <c r="A159" s="247">
        <v>36</v>
      </c>
      <c r="C159" s="28" t="s">
        <v>50</v>
      </c>
      <c r="D159" s="56" t="s">
        <v>0</v>
      </c>
      <c r="E159" s="42" t="str">
        <f>(Lighting!O28)</f>
        <v/>
      </c>
      <c r="F159" s="42" t="str">
        <f>(Lighting!P28)</f>
        <v/>
      </c>
      <c r="G159" s="42" t="str">
        <f>(Lighting!Q28)</f>
        <v/>
      </c>
      <c r="H159" s="42" t="str">
        <f>(Lighting!R28)</f>
        <v/>
      </c>
      <c r="I159" s="42" t="str">
        <f>(Lighting!S28)</f>
        <v/>
      </c>
      <c r="J159" s="42" t="str">
        <f>(Lighting!T28)</f>
        <v/>
      </c>
      <c r="K159" s="42" t="str">
        <f>(Lighting!U28)</f>
        <v/>
      </c>
      <c r="L159" s="45" t="str">
        <f>(Lighting!V28)</f>
        <v/>
      </c>
      <c r="M159" s="20"/>
      <c r="N159" s="20"/>
      <c r="O159" s="20"/>
      <c r="P159" s="20"/>
      <c r="Q159" s="2"/>
    </row>
    <row r="160" spans="1:17">
      <c r="A160" s="247">
        <v>37</v>
      </c>
      <c r="C160" s="28" t="s">
        <v>49</v>
      </c>
      <c r="D160" s="228" t="s">
        <v>202</v>
      </c>
      <c r="E160" s="42" t="str">
        <f>(Lighting!O29)</f>
        <v/>
      </c>
      <c r="F160" s="42" t="str">
        <f>(Lighting!P29)</f>
        <v/>
      </c>
      <c r="G160" s="42" t="str">
        <f>(Lighting!Q29)</f>
        <v/>
      </c>
      <c r="H160" s="42" t="str">
        <f>(Lighting!R29)</f>
        <v/>
      </c>
      <c r="I160" s="42" t="str">
        <f>(Lighting!S29)</f>
        <v/>
      </c>
      <c r="J160" s="42" t="str">
        <f>(Lighting!T29)</f>
        <v/>
      </c>
      <c r="K160" s="42" t="str">
        <f>(Lighting!U29)</f>
        <v/>
      </c>
      <c r="L160" s="45" t="str">
        <f>(Lighting!V29)</f>
        <v/>
      </c>
      <c r="M160" s="20"/>
      <c r="N160" s="20"/>
      <c r="O160" s="20"/>
      <c r="P160" s="20"/>
      <c r="Q160" s="2"/>
    </row>
    <row r="161" spans="1:17">
      <c r="A161" s="247">
        <v>38</v>
      </c>
      <c r="C161" s="28" t="s">
        <v>2</v>
      </c>
      <c r="D161" s="228"/>
      <c r="E161" s="42"/>
      <c r="F161" s="42"/>
      <c r="G161" s="42"/>
      <c r="H161" s="42"/>
      <c r="I161" s="42"/>
      <c r="J161" s="42"/>
      <c r="K161" s="42"/>
      <c r="L161" s="45"/>
      <c r="M161" s="176"/>
      <c r="N161" s="176"/>
      <c r="O161" s="176"/>
      <c r="P161" s="176"/>
      <c r="Q161" s="2"/>
    </row>
    <row r="162" spans="1:17">
      <c r="A162" s="247">
        <v>39</v>
      </c>
      <c r="C162" s="238" t="s">
        <v>56</v>
      </c>
      <c r="D162" s="274"/>
      <c r="E162" s="33"/>
      <c r="F162" s="239"/>
      <c r="G162" s="239"/>
      <c r="H162" s="239"/>
      <c r="I162" s="239"/>
      <c r="J162" s="239"/>
      <c r="K162" s="239"/>
      <c r="L162" s="240"/>
      <c r="M162" s="20"/>
      <c r="N162" s="20"/>
      <c r="O162" s="20"/>
      <c r="P162" s="20"/>
      <c r="Q162" s="2"/>
    </row>
    <row r="163" spans="1:17">
      <c r="A163" s="247">
        <v>40</v>
      </c>
      <c r="C163" s="180" t="s">
        <v>51</v>
      </c>
      <c r="D163" s="70" t="s">
        <v>202</v>
      </c>
      <c r="E163" s="151"/>
      <c r="F163" s="151"/>
      <c r="G163" s="151"/>
      <c r="H163" s="151"/>
      <c r="I163" s="151"/>
      <c r="J163" s="151"/>
      <c r="K163" s="151"/>
      <c r="L163" s="152"/>
      <c r="M163" s="20"/>
      <c r="N163" s="20"/>
      <c r="O163" s="20"/>
      <c r="P163" s="20"/>
      <c r="Q163" s="2"/>
    </row>
    <row r="164" spans="1:17">
      <c r="A164" s="247">
        <v>41</v>
      </c>
      <c r="C164" s="28" t="s">
        <v>52</v>
      </c>
      <c r="D164" s="56" t="s">
        <v>202</v>
      </c>
      <c r="E164" s="42"/>
      <c r="F164" s="42"/>
      <c r="G164" s="42"/>
      <c r="H164" s="42"/>
      <c r="I164" s="42"/>
      <c r="J164" s="42"/>
      <c r="K164" s="42"/>
      <c r="L164" s="45"/>
      <c r="M164" s="20"/>
      <c r="N164" s="20"/>
      <c r="O164" s="20"/>
      <c r="P164" s="20"/>
      <c r="Q164" s="2"/>
    </row>
    <row r="165" spans="1:17">
      <c r="A165" s="247">
        <v>42</v>
      </c>
      <c r="C165" s="28" t="s">
        <v>53</v>
      </c>
      <c r="D165" s="56" t="s">
        <v>202</v>
      </c>
      <c r="E165" s="42"/>
      <c r="F165" s="42"/>
      <c r="G165" s="42"/>
      <c r="H165" s="42"/>
      <c r="I165" s="42"/>
      <c r="J165" s="42"/>
      <c r="K165" s="42"/>
      <c r="L165" s="45"/>
      <c r="M165" s="20"/>
      <c r="N165" s="20"/>
      <c r="O165" s="20"/>
      <c r="P165" s="20"/>
      <c r="Q165" s="2"/>
    </row>
    <row r="166" spans="1:17">
      <c r="A166" s="247">
        <v>43</v>
      </c>
      <c r="C166" s="28" t="s">
        <v>54</v>
      </c>
      <c r="D166" s="56" t="s">
        <v>202</v>
      </c>
      <c r="E166" s="42"/>
      <c r="F166" s="42"/>
      <c r="G166" s="42"/>
      <c r="H166" s="42"/>
      <c r="I166" s="42"/>
      <c r="J166" s="42"/>
      <c r="K166" s="42"/>
      <c r="L166" s="45"/>
      <c r="M166" s="20"/>
      <c r="N166" s="20"/>
      <c r="O166" s="20"/>
      <c r="P166" s="20"/>
      <c r="Q166" s="2"/>
    </row>
    <row r="167" spans="1:17" ht="14.25">
      <c r="A167" s="247">
        <v>44</v>
      </c>
      <c r="C167" s="28" t="s">
        <v>50</v>
      </c>
      <c r="D167" s="56" t="s">
        <v>0</v>
      </c>
      <c r="E167" s="42" t="str">
        <f>Lighting!O31</f>
        <v/>
      </c>
      <c r="F167" s="42" t="str">
        <f>Lighting!P31</f>
        <v/>
      </c>
      <c r="G167" s="42" t="str">
        <f>Lighting!Q31</f>
        <v/>
      </c>
      <c r="H167" s="42" t="str">
        <f>Lighting!R31</f>
        <v/>
      </c>
      <c r="I167" s="42" t="str">
        <f>Lighting!S31</f>
        <v/>
      </c>
      <c r="J167" s="42" t="str">
        <f>Lighting!T31</f>
        <v/>
      </c>
      <c r="K167" s="42" t="str">
        <f>Lighting!U31</f>
        <v/>
      </c>
      <c r="L167" s="45" t="str">
        <f>Lighting!V31</f>
        <v/>
      </c>
      <c r="M167" s="20"/>
      <c r="N167" s="20"/>
      <c r="O167" s="20"/>
      <c r="P167" s="20"/>
      <c r="Q167" s="2"/>
    </row>
    <row r="168" spans="1:17">
      <c r="A168" s="247">
        <v>45</v>
      </c>
      <c r="C168" s="28" t="s">
        <v>49</v>
      </c>
      <c r="D168" s="56" t="s">
        <v>202</v>
      </c>
      <c r="E168" s="42" t="str">
        <f>Lighting!O32</f>
        <v/>
      </c>
      <c r="F168" s="42" t="str">
        <f>Lighting!P32</f>
        <v/>
      </c>
      <c r="G168" s="42" t="str">
        <f>Lighting!Q32</f>
        <v/>
      </c>
      <c r="H168" s="42" t="str">
        <f>Lighting!R32</f>
        <v/>
      </c>
      <c r="I168" s="42" t="str">
        <f>Lighting!S32</f>
        <v/>
      </c>
      <c r="J168" s="42" t="str">
        <f>Lighting!T32</f>
        <v/>
      </c>
      <c r="K168" s="42" t="str">
        <f>Lighting!U32</f>
        <v/>
      </c>
      <c r="L168" s="45" t="str">
        <f>Lighting!V32</f>
        <v/>
      </c>
    </row>
    <row r="169" spans="1:17" ht="13.5" thickBot="1">
      <c r="A169" s="247">
        <v>46</v>
      </c>
      <c r="C169" s="29" t="s">
        <v>2</v>
      </c>
      <c r="D169" s="233"/>
      <c r="E169" s="198"/>
      <c r="F169" s="198"/>
      <c r="G169" s="198"/>
      <c r="H169" s="198"/>
      <c r="I169" s="198"/>
      <c r="J169" s="198"/>
      <c r="K169" s="198"/>
      <c r="L169" s="200"/>
    </row>
  </sheetData>
  <phoneticPr fontId="8" type="noConversion"/>
  <pageMargins left="0.75" right="0.75" top="1" bottom="1" header="0.5" footer="0.5"/>
  <pageSetup orientation="portrait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7:K24"/>
  <sheetViews>
    <sheetView zoomScale="75" workbookViewId="0">
      <selection activeCell="H18" sqref="H18"/>
    </sheetView>
  </sheetViews>
  <sheetFormatPr defaultColWidth="8.85546875" defaultRowHeight="12.75"/>
  <cols>
    <col min="1" max="2" width="20.42578125" customWidth="1"/>
    <col min="3" max="52" width="7.42578125" customWidth="1"/>
  </cols>
  <sheetData>
    <row r="7" spans="1:11" ht="13.5" customHeight="1">
      <c r="F7" s="79"/>
      <c r="G7" s="79"/>
    </row>
    <row r="8" spans="1:11">
      <c r="F8" s="79"/>
      <c r="G8" s="79"/>
    </row>
    <row r="9" spans="1:11">
      <c r="C9" s="80" t="s">
        <v>95</v>
      </c>
      <c r="D9" s="80"/>
      <c r="E9" s="80"/>
      <c r="F9" s="81"/>
      <c r="G9" s="81"/>
      <c r="H9" s="80"/>
      <c r="I9" s="80"/>
      <c r="J9" s="80"/>
      <c r="K9" s="80"/>
    </row>
    <row r="10" spans="1:11">
      <c r="A10" t="s">
        <v>94</v>
      </c>
      <c r="C10" t="s">
        <v>96</v>
      </c>
      <c r="E10" t="s">
        <v>97</v>
      </c>
      <c r="G10" t="s">
        <v>86</v>
      </c>
      <c r="I10" t="s">
        <v>98</v>
      </c>
    </row>
    <row r="12" spans="1:11">
      <c r="A12" t="s">
        <v>212</v>
      </c>
      <c r="B12" t="s">
        <v>253</v>
      </c>
    </row>
    <row r="13" spans="1:11">
      <c r="A13" t="s">
        <v>87</v>
      </c>
      <c r="B13" t="s">
        <v>217</v>
      </c>
    </row>
    <row r="14" spans="1:11">
      <c r="A14" t="s">
        <v>88</v>
      </c>
      <c r="B14" t="s">
        <v>272</v>
      </c>
    </row>
    <row r="15" spans="1:11">
      <c r="A15" t="s">
        <v>78</v>
      </c>
      <c r="B15" t="s">
        <v>273</v>
      </c>
    </row>
    <row r="16" spans="1:11">
      <c r="A16" t="s">
        <v>89</v>
      </c>
      <c r="B16" t="s">
        <v>274</v>
      </c>
    </row>
    <row r="17" spans="1:2">
      <c r="A17" t="s">
        <v>90</v>
      </c>
      <c r="B17" t="s">
        <v>275</v>
      </c>
    </row>
    <row r="18" spans="1:2">
      <c r="A18" t="s">
        <v>79</v>
      </c>
      <c r="B18" t="s">
        <v>276</v>
      </c>
    </row>
    <row r="19" spans="1:2">
      <c r="A19" t="s">
        <v>80</v>
      </c>
      <c r="B19" t="s">
        <v>277</v>
      </c>
    </row>
    <row r="20" spans="1:2">
      <c r="A20" t="s">
        <v>91</v>
      </c>
      <c r="B20" t="s">
        <v>278</v>
      </c>
    </row>
    <row r="21" spans="1:2">
      <c r="A21" t="s">
        <v>82</v>
      </c>
      <c r="B21" t="s">
        <v>83</v>
      </c>
    </row>
    <row r="22" spans="1:2">
      <c r="A22" t="s">
        <v>84</v>
      </c>
      <c r="B22" t="s">
        <v>85</v>
      </c>
    </row>
    <row r="23" spans="1:2">
      <c r="A23" t="s">
        <v>92</v>
      </c>
      <c r="B23" t="s">
        <v>218</v>
      </c>
    </row>
    <row r="24" spans="1:2">
      <c r="A24" t="s">
        <v>93</v>
      </c>
      <c r="B24" t="s">
        <v>219</v>
      </c>
    </row>
  </sheetData>
  <phoneticPr fontId="8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3" name="Button 2">
              <controlPr defaultSize="0" print="0" autoFill="0" autoPict="0" macro="[0]!PrintNames">
                <anchor moveWithCells="1" sizeWithCells="1">
                  <from>
                    <xdr:col>0</xdr:col>
                    <xdr:colOff>381000</xdr:colOff>
                    <xdr:row>1</xdr:row>
                    <xdr:rowOff>76200</xdr:rowOff>
                  </from>
                  <to>
                    <xdr:col>0</xdr:col>
                    <xdr:colOff>1790700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4" name="Button 3">
              <controlPr defaultSize="0" print="0" autoFill="0" autoPict="0" macro="[0]!Names_DeleteREF">
                <anchor moveWithCells="1" sizeWithCells="1">
                  <from>
                    <xdr:col>1</xdr:col>
                    <xdr:colOff>800100</xdr:colOff>
                    <xdr:row>1</xdr:row>
                    <xdr:rowOff>47625</xdr:rowOff>
                  </from>
                  <to>
                    <xdr:col>2</xdr:col>
                    <xdr:colOff>381000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5" name="Button 4">
              <controlPr defaultSize="0" print="0" autoFill="0" autoPict="0" macro="[0]!Names_LocaltoGlobal">
                <anchor moveWithCells="1" sizeWithCells="1">
                  <from>
                    <xdr:col>3</xdr:col>
                    <xdr:colOff>200025</xdr:colOff>
                    <xdr:row>1</xdr:row>
                    <xdr:rowOff>47625</xdr:rowOff>
                  </from>
                  <to>
                    <xdr:col>5</xdr:col>
                    <xdr:colOff>47625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Config</vt:lpstr>
      <vt:lpstr>Lighting</vt:lpstr>
      <vt:lpstr>ModelState</vt:lpstr>
      <vt:lpstr>names</vt:lpstr>
      <vt:lpstr>LIG_Attitude</vt:lpstr>
      <vt:lpstr>LIG_Body_Power</vt:lpstr>
      <vt:lpstr>LIG_Elements</vt:lpstr>
      <vt:lpstr>LIG_OALighting</vt:lpstr>
      <vt:lpstr>LIG_OAPower</vt:lpstr>
      <vt:lpstr>LIG_Panel_Power</vt:lpstr>
      <vt:lpstr>Lig_Power</vt:lpstr>
      <vt:lpstr>LIG_SunEarth</vt:lpstr>
      <vt:lpstr>Model_Body_Surfaces</vt:lpstr>
      <vt:lpstr>Model_Panel_Surfaces</vt:lpstr>
    </vt:vector>
  </TitlesOfParts>
  <Company>The Aerospace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Aerospace Corporation</dc:creator>
  <cp:lastModifiedBy>CSE</cp:lastModifiedBy>
  <cp:lastPrinted>1998-11-11T23:15:55Z</cp:lastPrinted>
  <dcterms:created xsi:type="dcterms:W3CDTF">1998-11-11T22:25:32Z</dcterms:created>
  <dcterms:modified xsi:type="dcterms:W3CDTF">2017-11-16T02:00:28Z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utputs" linkTarget="prop_outputs">
    <vt:lpwstr/>
  </property>
  <property fmtid="{D5CDD505-2E9C-101B-9397-08002B2CF9AE}" pid="3" name="Current_Mass" linkTarget="PROP_Current_Mass">
    <vt:lpwstr>#VALUE!</vt:lpwstr>
  </property>
  <property fmtid="{D5CDD505-2E9C-101B-9397-08002B2CF9AE}" pid="4" name="g0" linkTarget="PROP_g0">
    <vt:lpwstr>#VALUE!</vt:lpwstr>
  </property>
  <property fmtid="{D5CDD505-2E9C-101B-9397-08002B2CF9AE}" pid="5" name="Grav_Const" linkTarget="PROP_Grav_Const">
    <vt:lpwstr>#VALUE!</vt:lpwstr>
  </property>
  <property fmtid="{D5CDD505-2E9C-101B-9397-08002B2CF9AE}" pid="6" name="Iteration" linkTarget="PROP_Iteration">
    <vt:lpwstr>#VALUE!</vt:lpwstr>
  </property>
  <property fmtid="{D5CDD505-2E9C-101B-9397-08002B2CF9AE}" pid="7" name="List_Output" linkTarget="PROP_List_Output">
    <vt:lpwstr>#VALUE!</vt:lpwstr>
  </property>
  <property fmtid="{D5CDD505-2E9C-101B-9397-08002B2CF9AE}" pid="8" name="List_Previous" linkTarget="PROP_List_Previous">
    <vt:lpwstr>#VALUE!</vt:lpwstr>
  </property>
  <property fmtid="{D5CDD505-2E9C-101B-9397-08002B2CF9AE}" pid="9" name="List_Stored" linkTarget="PROP_List_Stored">
    <vt:lpwstr>#VALUE!</vt:lpwstr>
  </property>
  <property fmtid="{D5CDD505-2E9C-101B-9397-08002B2CF9AE}" pid="10" name="Planet_Radius" linkTarget="PROP_Planet_Radius">
    <vt:lpwstr>#VALUE!</vt:lpwstr>
  </property>
  <property fmtid="{D5CDD505-2E9C-101B-9397-08002B2CF9AE}" pid="11" name="Seed_Mass" linkTarget="PROP_Seed_Mass">
    <vt:lpwstr>#VALUE!</vt:lpwstr>
  </property>
</Properties>
</file>